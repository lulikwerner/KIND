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ilaw\Desktop\K.I.N.D\"/>
    </mc:Choice>
  </mc:AlternateContent>
  <xr:revisionPtr revIDLastSave="0" documentId="13_ncr:1_{A7FEAF30-AC80-4D1B-A0CB-B5389BFA3EF8}" xr6:coauthVersionLast="47" xr6:coauthVersionMax="47" xr10:uidLastSave="{00000000-0000-0000-0000-000000000000}"/>
  <bookViews>
    <workbookView xWindow="38280" yWindow="-1650" windowWidth="38640" windowHeight="21120" firstSheet="1" activeTab="1" xr2:uid="{00000000-000D-0000-FFFF-FFFF00000000}"/>
  </bookViews>
  <sheets>
    <sheet name="Calendar" sheetId="1" state="hidden" r:id="rId1"/>
    <sheet name="SQL" sheetId="2" r:id="rId2"/>
  </sheets>
  <definedNames>
    <definedName name="_xlnm._FilterDatabase" localSheetId="0" hidden="1">Calendar!$A$1:$AI$61</definedName>
    <definedName name="_xlnm._FilterDatabase" localSheetId="1" hidden="1">SQL!$A$1:$G$66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K10" i="2"/>
  <c r="AI59" i="1"/>
  <c r="AI8" i="1"/>
  <c r="AI5" i="1"/>
  <c r="AI4" i="1"/>
  <c r="AI6" i="1"/>
  <c r="AI3" i="1"/>
  <c r="AI2" i="1"/>
  <c r="AI7" i="1"/>
  <c r="AI61" i="1"/>
  <c r="AI60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M10" i="2" l="1"/>
</calcChain>
</file>

<file path=xl/sharedStrings.xml><?xml version="1.0" encoding="utf-8"?>
<sst xmlns="http://schemas.openxmlformats.org/spreadsheetml/2006/main" count="1749" uniqueCount="689">
  <si>
    <t>Subscriber Id</t>
  </si>
  <si>
    <t>Member Id</t>
  </si>
  <si>
    <t>Identification</t>
  </si>
  <si>
    <t>Name</t>
  </si>
  <si>
    <t>Arrived</t>
  </si>
  <si>
    <t>Created</t>
  </si>
  <si>
    <t>Updated</t>
  </si>
  <si>
    <t>Date of Birth</t>
  </si>
  <si>
    <t>First name</t>
  </si>
  <si>
    <t>Last name</t>
  </si>
  <si>
    <t>Active</t>
  </si>
  <si>
    <t>Status</t>
  </si>
  <si>
    <t>Phone</t>
  </si>
  <si>
    <t>Whatsapp link</t>
  </si>
  <si>
    <t>Email</t>
  </si>
  <si>
    <t>Birthdate</t>
  </si>
  <si>
    <t>Address</t>
  </si>
  <si>
    <t>First Name</t>
  </si>
  <si>
    <t>Last Name</t>
  </si>
  <si>
    <t>Phone Number</t>
  </si>
  <si>
    <t>Payment status</t>
  </si>
  <si>
    <t>Amount paid</t>
  </si>
  <si>
    <t>Refund</t>
  </si>
  <si>
    <t>Tickets</t>
  </si>
  <si>
    <t>Scanner Enabled</t>
  </si>
  <si>
    <t>Custom Status</t>
  </si>
  <si>
    <t>Admin comment</t>
  </si>
  <si>
    <t>Gender</t>
  </si>
  <si>
    <t>RSVP</t>
  </si>
  <si>
    <t>Registration notification</t>
  </si>
  <si>
    <t>Join origin</t>
  </si>
  <si>
    <t>Attachments</t>
  </si>
  <si>
    <t>[user] Which age group do you belong to? (Optional)</t>
  </si>
  <si>
    <t/>
  </si>
  <si>
    <t>Precious Otis</t>
  </si>
  <si>
    <t>01/17/2026 8:12 AM</t>
  </si>
  <si>
    <t>05/12/1998 8:00 PM</t>
  </si>
  <si>
    <t>Precious</t>
  </si>
  <si>
    <t>Otis</t>
  </si>
  <si>
    <t>13057613295</t>
  </si>
  <si>
    <t>https://wa.me/13057613295</t>
  </si>
  <si>
    <t>Precious_otis@yahoo.com</t>
  </si>
  <si>
    <t>1315 nw 172 terrace</t>
  </si>
  <si>
    <t>3057613295</t>
  </si>
  <si>
    <t>none</t>
  </si>
  <si>
    <t>0.00</t>
  </si>
  <si>
    <t>not_responded</t>
  </si>
  <si>
    <t>web_app</t>
  </si>
  <si>
    <t>Elan Doeman</t>
  </si>
  <si>
    <t>01/17/2026 7:49 AM</t>
  </si>
  <si>
    <t>02/02/1994 7:00 PM</t>
  </si>
  <si>
    <t>Elan</t>
  </si>
  <si>
    <t>Doeman</t>
  </si>
  <si>
    <t>17865373662</t>
  </si>
  <si>
    <t>https://wa.me/17865373662</t>
  </si>
  <si>
    <t>elandoeman19@gmail.com</t>
  </si>
  <si>
    <t>105 Royal Park Dr</t>
  </si>
  <si>
    <t>7865373662</t>
  </si>
  <si>
    <t>25-34</t>
  </si>
  <si>
    <t>chris addison</t>
  </si>
  <si>
    <t>01/16/2026 11:00 PM</t>
  </si>
  <si>
    <t>09/26/1994 8:00 PM</t>
  </si>
  <si>
    <t>chris</t>
  </si>
  <si>
    <t>addison</t>
  </si>
  <si>
    <t>19544151592</t>
  </si>
  <si>
    <t>https://wa.me/19544151592</t>
  </si>
  <si>
    <t>13chrisaddison@gmail.com</t>
  </si>
  <si>
    <t>5609 Blueberry Ct Lauderhill, Fl 33313</t>
  </si>
  <si>
    <t>Chris</t>
  </si>
  <si>
    <t>Addison</t>
  </si>
  <si>
    <t>9544151592</t>
  </si>
  <si>
    <t>BLOSSOM BACCHUS</t>
  </si>
  <si>
    <t>01/16/2026 7:59 PM</t>
  </si>
  <si>
    <t>09/03/1972 8:00 PM</t>
  </si>
  <si>
    <t>BLOSSOM</t>
  </si>
  <si>
    <t>BACCHUS</t>
  </si>
  <si>
    <t>13478167646</t>
  </si>
  <si>
    <t>https://wa.me/13478167646</t>
  </si>
  <si>
    <t>queenblossy@gmail.com</t>
  </si>
  <si>
    <t>7610 Westwood Dr 101</t>
  </si>
  <si>
    <t>Blossom</t>
  </si>
  <si>
    <t>Bacchus</t>
  </si>
  <si>
    <t>3478167646</t>
  </si>
  <si>
    <t>45-54</t>
  </si>
  <si>
    <t>Vee Francois</t>
  </si>
  <si>
    <t>01/16/2026 5:22 PM</t>
  </si>
  <si>
    <t>12/27/2001 7:00 PM</t>
  </si>
  <si>
    <t>Vee</t>
  </si>
  <si>
    <t>Francois</t>
  </si>
  <si>
    <t>19546432117</t>
  </si>
  <si>
    <t>https://wa.me/19546432117</t>
  </si>
  <si>
    <t>Varenskafrancois@icloud.com</t>
  </si>
  <si>
    <t>3549 Nw 34 St</t>
  </si>
  <si>
    <t>Varenska</t>
  </si>
  <si>
    <t>9546432117</t>
  </si>
  <si>
    <t>18-24</t>
  </si>
  <si>
    <t>James (Jesse) Antonelli</t>
  </si>
  <si>
    <t>01/16/2026 12:13 PM</t>
  </si>
  <si>
    <t>09/06/1963 7:30 AM</t>
  </si>
  <si>
    <t>James (Jesse)</t>
  </si>
  <si>
    <t>Antonelli</t>
  </si>
  <si>
    <t>19542639644</t>
  </si>
  <si>
    <t>https://wa.me/19542639644</t>
  </si>
  <si>
    <t>thatjessejames@comcast.net</t>
  </si>
  <si>
    <t>6191 LAUREL LN</t>
  </si>
  <si>
    <t>9542639644</t>
  </si>
  <si>
    <t>55+</t>
  </si>
  <si>
    <t>Paula Salgar</t>
  </si>
  <si>
    <t>01/16/2026 10:43 AM</t>
  </si>
  <si>
    <t>07/26/1987 8:00 PM</t>
  </si>
  <si>
    <t>Paula</t>
  </si>
  <si>
    <t>Salgar</t>
  </si>
  <si>
    <t>19546518555</t>
  </si>
  <si>
    <t>https://wa.me/19546518555</t>
  </si>
  <si>
    <t>PAULA@BRIGHTOLOGYLIGHTING.COM</t>
  </si>
  <si>
    <t>7920 nw 89th ave</t>
  </si>
  <si>
    <t>9546518555</t>
  </si>
  <si>
    <t>35-44</t>
  </si>
  <si>
    <t>Fabio Edwards</t>
  </si>
  <si>
    <t>01/15/2026 2:52 PM</t>
  </si>
  <si>
    <t>12/25/2025 7:00 PM</t>
  </si>
  <si>
    <t>Fabio</t>
  </si>
  <si>
    <t>Edwards</t>
  </si>
  <si>
    <t>17542421276</t>
  </si>
  <si>
    <t>https://wa.me/17542421276</t>
  </si>
  <si>
    <t>fabioe1986@gmail.com</t>
  </si>
  <si>
    <t>7747 NW 79th St</t>
  </si>
  <si>
    <t>7542421276</t>
  </si>
  <si>
    <t>Dee Major</t>
  </si>
  <si>
    <t>01/15/2026 9:53 AM</t>
  </si>
  <si>
    <t>06/12/1996 8:00 PM</t>
  </si>
  <si>
    <t>Dee</t>
  </si>
  <si>
    <t>Major</t>
  </si>
  <si>
    <t>13054962504</t>
  </si>
  <si>
    <t>https://wa.me/13054962504</t>
  </si>
  <si>
    <t>d_smithmajor96@yahoo.com</t>
  </si>
  <si>
    <t>610 Sw 147th Ter</t>
  </si>
  <si>
    <t>3054962504</t>
  </si>
  <si>
    <t>Krishna Gelin</t>
  </si>
  <si>
    <t>01/15/2026 9:47 AM</t>
  </si>
  <si>
    <t>01/03/2020 9:15 AM</t>
  </si>
  <si>
    <t>Krishna</t>
  </si>
  <si>
    <t>Gelin</t>
  </si>
  <si>
    <t>13527927617</t>
  </si>
  <si>
    <t>https://wa.me/13527927617</t>
  </si>
  <si>
    <t>gelin.krishna@yahoo.com</t>
  </si>
  <si>
    <t>5429 NW 50th Ct Coconut Creek Fl</t>
  </si>
  <si>
    <t>3527927617</t>
  </si>
  <si>
    <t>Kaelyn Edwards</t>
  </si>
  <si>
    <t>01/14/2026 11:42 PM</t>
  </si>
  <si>
    <t>01/06/2010 7:00 AM</t>
  </si>
  <si>
    <t>Kaelyn</t>
  </si>
  <si>
    <t>17542440057</t>
  </si>
  <si>
    <t>https://wa.me/17542440057</t>
  </si>
  <si>
    <t>kaelynedwards3@gmail.com</t>
  </si>
  <si>
    <t>5528 Northwest 90th Avenue</t>
  </si>
  <si>
    <t>7542440057</t>
  </si>
  <si>
    <t>Denise Collins</t>
  </si>
  <si>
    <t>01/13/2026 6:31 PM</t>
  </si>
  <si>
    <t>03/03/2026 7:00 PM</t>
  </si>
  <si>
    <t>Denise</t>
  </si>
  <si>
    <t>Collins</t>
  </si>
  <si>
    <t>19548992891</t>
  </si>
  <si>
    <t>https://wa.me/19548992891</t>
  </si>
  <si>
    <t>nese6@comcast.net</t>
  </si>
  <si>
    <t>6425 Pinehurst Circle W</t>
  </si>
  <si>
    <t>9548992891</t>
  </si>
  <si>
    <t>Leila Isaacs</t>
  </si>
  <si>
    <t>01/12/2026 9:05 PM</t>
  </si>
  <si>
    <t>01/13/2026 6:04 AM</t>
  </si>
  <si>
    <t>01/05/2026 7:00 PM</t>
  </si>
  <si>
    <t>Leila</t>
  </si>
  <si>
    <t>Isaacs</t>
  </si>
  <si>
    <t>Member Unsubscribed</t>
  </si>
  <si>
    <t>19178373410</t>
  </si>
  <si>
    <t>https://wa.me/19178373410</t>
  </si>
  <si>
    <t>Leilaisaacs11@gmail.com</t>
  </si>
  <si>
    <t>7754 Granville St</t>
  </si>
  <si>
    <t>9178373410</t>
  </si>
  <si>
    <t>Tammy Delgado</t>
  </si>
  <si>
    <t>01/13/2026 12:33 AM</t>
  </si>
  <si>
    <t>01/26/2026 7:00 PM</t>
  </si>
  <si>
    <t>Tammy</t>
  </si>
  <si>
    <t>Delgado</t>
  </si>
  <si>
    <t>19548299189</t>
  </si>
  <si>
    <t>https://wa.me/19548299189</t>
  </si>
  <si>
    <t>Tvtams@gmail.com</t>
  </si>
  <si>
    <t>7962 Exeter Circle East Tamarac FL 33321</t>
  </si>
  <si>
    <t>9548299189</t>
  </si>
  <si>
    <t>Melody Moore</t>
  </si>
  <si>
    <t>01/12/2026 9:24 PM</t>
  </si>
  <si>
    <t>12/09/1969 8:15 PM</t>
  </si>
  <si>
    <t>Melody</t>
  </si>
  <si>
    <t>Moore</t>
  </si>
  <si>
    <t>19544465736</t>
  </si>
  <si>
    <t>https://wa.me/19544465736</t>
  </si>
  <si>
    <t>Msmalibu31@gmail.com</t>
  </si>
  <si>
    <t>7300 NW 54th Ct</t>
  </si>
  <si>
    <t>9544465736</t>
  </si>
  <si>
    <t>Davina Rowe</t>
  </si>
  <si>
    <t>01/12/2026 6:28 PM</t>
  </si>
  <si>
    <t>09/30/1982 8:00 PM</t>
  </si>
  <si>
    <t>Davina</t>
  </si>
  <si>
    <t>Rowe</t>
  </si>
  <si>
    <t>19545521016</t>
  </si>
  <si>
    <t>https://wa.me/19545521016</t>
  </si>
  <si>
    <t>Davinarowesmith@gmail.com</t>
  </si>
  <si>
    <t>7960 Northwest 50th Street</t>
  </si>
  <si>
    <t>9545521016</t>
  </si>
  <si>
    <t>Janice Dias</t>
  </si>
  <si>
    <t>01/12/2026 6:15 PM</t>
  </si>
  <si>
    <t>06/28/1987 8:00 PM</t>
  </si>
  <si>
    <t>Janice</t>
  </si>
  <si>
    <t>Dias</t>
  </si>
  <si>
    <t>19546083788</t>
  </si>
  <si>
    <t>https://wa.me/19546083788</t>
  </si>
  <si>
    <t>jmdias87@Gmail.com</t>
  </si>
  <si>
    <t>6840 nw 46th court</t>
  </si>
  <si>
    <t>9546083788</t>
  </si>
  <si>
    <t>Jon Edwards</t>
  </si>
  <si>
    <t>01/12/2026 3:54 PM</t>
  </si>
  <si>
    <t>01/10/1974 2:00 AM</t>
  </si>
  <si>
    <t>Jon</t>
  </si>
  <si>
    <t>19543106454</t>
  </si>
  <si>
    <t>https://wa.me/19543106454</t>
  </si>
  <si>
    <t>davierre@msn.com</t>
  </si>
  <si>
    <t>Jonath</t>
  </si>
  <si>
    <t>9543106454</t>
  </si>
  <si>
    <t>Duon's pathways</t>
  </si>
  <si>
    <t>01/12/2026 3:37 PM</t>
  </si>
  <si>
    <t>09/07/1997 8:00 PM</t>
  </si>
  <si>
    <t>Duon's</t>
  </si>
  <si>
    <t>pathways</t>
  </si>
  <si>
    <t>13473518575</t>
  </si>
  <si>
    <t>https://wa.me/13473518575</t>
  </si>
  <si>
    <t>Dpenso1@outlook.com</t>
  </si>
  <si>
    <t>8206 NW 104th ave</t>
  </si>
  <si>
    <t>Duo</t>
  </si>
  <si>
    <t>Penso</t>
  </si>
  <si>
    <t>3473518575</t>
  </si>
  <si>
    <t>Cedric Francoeur</t>
  </si>
  <si>
    <t>01/12/2026 3:35 PM</t>
  </si>
  <si>
    <t>09/09/1991 8:00 PM</t>
  </si>
  <si>
    <t>Cedric</t>
  </si>
  <si>
    <t>Francoeur</t>
  </si>
  <si>
    <t>13059044778</t>
  </si>
  <si>
    <t>https://wa.me/13059044778</t>
  </si>
  <si>
    <t>Francoeurp1@gmail.com</t>
  </si>
  <si>
    <t>7021 woodmont way</t>
  </si>
  <si>
    <t>3059044778</t>
  </si>
  <si>
    <t>Bianca Hardy</t>
  </si>
  <si>
    <t>01/12/2026 3:32 PM</t>
  </si>
  <si>
    <t>01/28/1990 7:00 PM</t>
  </si>
  <si>
    <t>Bianca</t>
  </si>
  <si>
    <t>Hardy</t>
  </si>
  <si>
    <t>19547322921</t>
  </si>
  <si>
    <t>https://wa.me/19547322921</t>
  </si>
  <si>
    <t>mspinktastiz@yahoo.com</t>
  </si>
  <si>
    <t>9435 W Mcnab Rd #209 Tamarac Fl 33321</t>
  </si>
  <si>
    <t>9547322921</t>
  </si>
  <si>
    <t>Lu chisha Burris</t>
  </si>
  <si>
    <t>01/12/2026 12:31 PM</t>
  </si>
  <si>
    <t>05/10/1981 8:00 PM</t>
  </si>
  <si>
    <t>Lu chisha</t>
  </si>
  <si>
    <t>Burris</t>
  </si>
  <si>
    <t>19546820453</t>
  </si>
  <si>
    <t>https://wa.me/19546820453</t>
  </si>
  <si>
    <t>luchburris@yahoo.com</t>
  </si>
  <si>
    <t>8060 N Nob Hill Rd</t>
  </si>
  <si>
    <t>Luchisha</t>
  </si>
  <si>
    <t>Phillips</t>
  </si>
  <si>
    <t>9546820453</t>
  </si>
  <si>
    <t>Chris Shea</t>
  </si>
  <si>
    <t>01/12/2026 10:26 AM</t>
  </si>
  <si>
    <t>12/09/1955 7:00 PM</t>
  </si>
  <si>
    <t>Shea</t>
  </si>
  <si>
    <t>12522561499</t>
  </si>
  <si>
    <t>https://wa.me/12522561499</t>
  </si>
  <si>
    <t>vetcycler@yahoo.com</t>
  </si>
  <si>
    <t>11030 Palm Ridge Lane</t>
  </si>
  <si>
    <t>2522561499</t>
  </si>
  <si>
    <t>Maria Martin</t>
  </si>
  <si>
    <t>01/11/2026 11:42 AM</t>
  </si>
  <si>
    <t>10/27/1974 7:00 PM</t>
  </si>
  <si>
    <t>Maria</t>
  </si>
  <si>
    <t>Martin</t>
  </si>
  <si>
    <t>19549077995</t>
  </si>
  <si>
    <t>https://wa.me/19549077995</t>
  </si>
  <si>
    <t>mariafmartin.28@gmail.com</t>
  </si>
  <si>
    <t>8900 nw 77 ct</t>
  </si>
  <si>
    <t>9549077995</t>
  </si>
  <si>
    <t>Daniel Herrera</t>
  </si>
  <si>
    <t>01/11/2026 11:37 AM</t>
  </si>
  <si>
    <t>01/13/1975 7:00 PM</t>
  </si>
  <si>
    <t>Daniel</t>
  </si>
  <si>
    <t>Herrera</t>
  </si>
  <si>
    <t>17542327777</t>
  </si>
  <si>
    <t>https://wa.me/17542327777</t>
  </si>
  <si>
    <t>doherrera1875@gmail.com</t>
  </si>
  <si>
    <t>8900 NW 77th Ct</t>
  </si>
  <si>
    <t>7542327777</t>
  </si>
  <si>
    <t>Hector Batista</t>
  </si>
  <si>
    <t>01/11/2026 11:23 AM</t>
  </si>
  <si>
    <t>02/13/2008 8:00 PM</t>
  </si>
  <si>
    <t>Hector</t>
  </si>
  <si>
    <t>Batista</t>
  </si>
  <si>
    <t>18509022031</t>
  </si>
  <si>
    <t>https://wa.me/18509022031</t>
  </si>
  <si>
    <t>h.batista102@gmail.com</t>
  </si>
  <si>
    <t>1080 NW 117Ave</t>
  </si>
  <si>
    <t>8509022031</t>
  </si>
  <si>
    <t>Gustavo Hernandez</t>
  </si>
  <si>
    <t>01/09/2026 9:38 PM</t>
  </si>
  <si>
    <t>01/29/1984 7:00 PM</t>
  </si>
  <si>
    <t>Gustavo</t>
  </si>
  <si>
    <t>Hernandez</t>
  </si>
  <si>
    <t>17864395024</t>
  </si>
  <si>
    <t>https://wa.me/17864395024</t>
  </si>
  <si>
    <t>Gusjhb@gmail.com</t>
  </si>
  <si>
    <t>7050 southgate blvd 101</t>
  </si>
  <si>
    <t>7864395024</t>
  </si>
  <si>
    <t>Kenneth Lopez</t>
  </si>
  <si>
    <t>01/08/2026 2:53 PM</t>
  </si>
  <si>
    <t>03/13/1991 7:00 PM</t>
  </si>
  <si>
    <t>Kenneth</t>
  </si>
  <si>
    <t>Lopez</t>
  </si>
  <si>
    <t>17549719418</t>
  </si>
  <si>
    <t>https://wa.me/17549719418</t>
  </si>
  <si>
    <t>Kenneth.lopez@tamarac.org</t>
  </si>
  <si>
    <t>4025 Carambola Circle North</t>
  </si>
  <si>
    <t>7549719418</t>
  </si>
  <si>
    <t>Mike Gelin</t>
  </si>
  <si>
    <t>01/08/2026 2:21 PM</t>
  </si>
  <si>
    <t>06/13/2026 1:05 PM</t>
  </si>
  <si>
    <t>Mike</t>
  </si>
  <si>
    <t>19549130299</t>
  </si>
  <si>
    <t>https://wa.me/19549130299</t>
  </si>
  <si>
    <t>mike.gelin@gmail.com</t>
  </si>
  <si>
    <t>5901 Abbey Road</t>
  </si>
  <si>
    <t>9549130299</t>
  </si>
  <si>
    <t>Brianna Grant</t>
  </si>
  <si>
    <t>01/08/2026 12:38 PM</t>
  </si>
  <si>
    <t>09/12/2026 8:00 PM</t>
  </si>
  <si>
    <t>Brianna</t>
  </si>
  <si>
    <t>Grant</t>
  </si>
  <si>
    <t>14078740744</t>
  </si>
  <si>
    <t>https://wa.me/14078740744</t>
  </si>
  <si>
    <t>Grant5600@icloud.com</t>
  </si>
  <si>
    <t>5600 nw 55th lane Tamarac</t>
  </si>
  <si>
    <t>4078740744</t>
  </si>
  <si>
    <t>Roger Godoy</t>
  </si>
  <si>
    <t>01/08/2026 12:30 PM</t>
  </si>
  <si>
    <t>10/24/1971 8:00 PM</t>
  </si>
  <si>
    <t>Roger</t>
  </si>
  <si>
    <t>Godoy</t>
  </si>
  <si>
    <t>19548644691</t>
  </si>
  <si>
    <t>https://wa.me/19548644691</t>
  </si>
  <si>
    <t>roriryrare@gmail.com</t>
  </si>
  <si>
    <t>10450 SW 7TH CT APT 114</t>
  </si>
  <si>
    <t>9548644691</t>
  </si>
  <si>
    <t>Rita Godoy</t>
  </si>
  <si>
    <t>01/08/2026 12:26 PM</t>
  </si>
  <si>
    <t>08/12/1976 8:00 PM</t>
  </si>
  <si>
    <t>Rita</t>
  </si>
  <si>
    <t>19548644680</t>
  </si>
  <si>
    <t>https://wa.me/19548644680</t>
  </si>
  <si>
    <t>roriryra@gmail.com</t>
  </si>
  <si>
    <t>9548644680</t>
  </si>
  <si>
    <t>Michelle Ramis</t>
  </si>
  <si>
    <t>01/08/2026 11:55 AM</t>
  </si>
  <si>
    <t>09/04/1970 8:00 PM</t>
  </si>
  <si>
    <t>Michelle</t>
  </si>
  <si>
    <t>Ramis</t>
  </si>
  <si>
    <t>19544444400</t>
  </si>
  <si>
    <t>https://wa.me/19544444400</t>
  </si>
  <si>
    <t>Ramism70@yahoo.com</t>
  </si>
  <si>
    <t>6901 SW 1st Court</t>
  </si>
  <si>
    <t>9544444400</t>
  </si>
  <si>
    <t>Wendy Olcima</t>
  </si>
  <si>
    <t>01/08/2026 10:44 AM</t>
  </si>
  <si>
    <t>10/08/2025 8:00 PM</t>
  </si>
  <si>
    <t>Wendy</t>
  </si>
  <si>
    <t>Olcima</t>
  </si>
  <si>
    <t>19546554375</t>
  </si>
  <si>
    <t>https://wa.me/19546554375</t>
  </si>
  <si>
    <t>Wendydolcima@gmail.com</t>
  </si>
  <si>
    <t>2145 cove lake road</t>
  </si>
  <si>
    <t>9546554375</t>
  </si>
  <si>
    <t>Ana Fernandez</t>
  </si>
  <si>
    <t>01/08/2026 9:42 AM</t>
  </si>
  <si>
    <t>10/02/1994 8:00 PM</t>
  </si>
  <si>
    <t>Ana</t>
  </si>
  <si>
    <t>Fernandez</t>
  </si>
  <si>
    <t>19546081595</t>
  </si>
  <si>
    <t>https://wa.me/19546081595</t>
  </si>
  <si>
    <t>Afernandez_sports@outlook.com</t>
  </si>
  <si>
    <t>5855 N University Dr Tamarac FL 33321</t>
  </si>
  <si>
    <t>9546081595</t>
  </si>
  <si>
    <t xml:space="preserve">Daisy </t>
  </si>
  <si>
    <t>01/08/2026 9:31 AM</t>
  </si>
  <si>
    <t>12/18/1988 7:00 PM</t>
  </si>
  <si>
    <t>Daisy</t>
  </si>
  <si>
    <t>117864742440</t>
  </si>
  <si>
    <t>https://wa.me/117864742440</t>
  </si>
  <si>
    <t>Daisha62@gmail.com</t>
  </si>
  <si>
    <t>9294 NW 13 place</t>
  </si>
  <si>
    <t>Daisha</t>
  </si>
  <si>
    <t>Thompson</t>
  </si>
  <si>
    <t>7864742449</t>
  </si>
  <si>
    <t>Natacha S. Chance</t>
  </si>
  <si>
    <t>01/07/2026 7:54 PM</t>
  </si>
  <si>
    <t>03/25/1974 8:00 PM</t>
  </si>
  <si>
    <t>Natacha</t>
  </si>
  <si>
    <t>S. Chance</t>
  </si>
  <si>
    <t>19545880075</t>
  </si>
  <si>
    <t>https://wa.me/19545880075</t>
  </si>
  <si>
    <t>nsenechance@gmail.com</t>
  </si>
  <si>
    <t>4630 NW 58th Street</t>
  </si>
  <si>
    <t>Sene-Chance</t>
  </si>
  <si>
    <t>9545880075</t>
  </si>
  <si>
    <t>Marsha McBain</t>
  </si>
  <si>
    <t>01/07/2026 7:53 PM</t>
  </si>
  <si>
    <t>09/09/1981 8:00 PM</t>
  </si>
  <si>
    <t>Marsha</t>
  </si>
  <si>
    <t>McBain</t>
  </si>
  <si>
    <t>19548565650</t>
  </si>
  <si>
    <t>https://wa.me/19548565650</t>
  </si>
  <si>
    <t>ms.marshamcbain@gmail.com</t>
  </si>
  <si>
    <t>7370 FLORES WAY</t>
  </si>
  <si>
    <t>9548565650</t>
  </si>
  <si>
    <t>Linda Julien</t>
  </si>
  <si>
    <t>01/07/2026 3:32 PM</t>
  </si>
  <si>
    <t>08/28/1980 8:00 PM</t>
  </si>
  <si>
    <t>Linda</t>
  </si>
  <si>
    <t>Julien</t>
  </si>
  <si>
    <t>19542882035</t>
  </si>
  <si>
    <t>https://wa.me/19542882035</t>
  </si>
  <si>
    <t>smeza@miamigardens-fl.gov</t>
  </si>
  <si>
    <t>18605 NW 27th Ave</t>
  </si>
  <si>
    <t>9542882035</t>
  </si>
  <si>
    <t xml:space="preserve"> </t>
  </si>
  <si>
    <t>01/05/2026 10:41 PM</t>
  </si>
  <si>
    <t>12/09/1983 7:00 PM</t>
  </si>
  <si>
    <t>19547162813</t>
  </si>
  <si>
    <t>https://wa.me/19547162813</t>
  </si>
  <si>
    <t>zila0814@hotmail.com</t>
  </si>
  <si>
    <t>5700 nw 57th ct Tamarac fl 33319</t>
  </si>
  <si>
    <t>Zil</t>
  </si>
  <si>
    <t>F</t>
  </si>
  <si>
    <t>9547162813</t>
  </si>
  <si>
    <t>Jennifer Leslie</t>
  </si>
  <si>
    <t>01/04/2026 7:02 PM</t>
  </si>
  <si>
    <t>08/31/1967 8:00 PM</t>
  </si>
  <si>
    <t>Jennifer</t>
  </si>
  <si>
    <t>Leslie</t>
  </si>
  <si>
    <t>leslie3j@yahoo.com</t>
  </si>
  <si>
    <t>8030 NW 96 Terrace</t>
  </si>
  <si>
    <t>9546810550</t>
  </si>
  <si>
    <t>Yoli Wheeler</t>
  </si>
  <si>
    <t>01/04/2026 3:21 PM</t>
  </si>
  <si>
    <t>06/12/1966 8:00 PM</t>
  </si>
  <si>
    <t>Yoli</t>
  </si>
  <si>
    <t>Wheeler</t>
  </si>
  <si>
    <t>9548294137</t>
  </si>
  <si>
    <t>https://wa.me/9548294137</t>
  </si>
  <si>
    <t>yoliwheeler@gmail.com</t>
  </si>
  <si>
    <t>8172 NW 66th Terrace</t>
  </si>
  <si>
    <t>Yolanda</t>
  </si>
  <si>
    <t>Shelton Thomas</t>
  </si>
  <si>
    <t>01/04/2026 1:39 PM</t>
  </si>
  <si>
    <t>05/06/1972 8:00 PM</t>
  </si>
  <si>
    <t>Shelton</t>
  </si>
  <si>
    <t>Thomas</t>
  </si>
  <si>
    <t>1355464764</t>
  </si>
  <si>
    <t>https://wa.me/1355464764</t>
  </si>
  <si>
    <t>Shelto_t@yahoo.com</t>
  </si>
  <si>
    <t>7860 Sanibel Drive</t>
  </si>
  <si>
    <t>3055464764</t>
  </si>
  <si>
    <t>La Nena</t>
  </si>
  <si>
    <t>01/04/2026 12:18 AM</t>
  </si>
  <si>
    <t>12/31/2025 7:00 PM</t>
  </si>
  <si>
    <t>La</t>
  </si>
  <si>
    <t>Nena</t>
  </si>
  <si>
    <t>9546087832</t>
  </si>
  <si>
    <t>https://wa.me/9546087832</t>
  </si>
  <si>
    <t>msphunk77@gmail.com</t>
  </si>
  <si>
    <t>8607 NW 59 Ct</t>
  </si>
  <si>
    <t>nena</t>
  </si>
  <si>
    <t>Medina</t>
  </si>
  <si>
    <t>Nadege Donaldson</t>
  </si>
  <si>
    <t>01/03/2026 1:39 PM</t>
  </si>
  <si>
    <t>12/12/1977 7:00 PM</t>
  </si>
  <si>
    <t>Nadege</t>
  </si>
  <si>
    <t>Donaldson</t>
  </si>
  <si>
    <t>16783334022</t>
  </si>
  <si>
    <t>https://wa.me/16783334022</t>
  </si>
  <si>
    <t>nadeged@hotmail.com</t>
  </si>
  <si>
    <t>672 NW 127th Avenue</t>
  </si>
  <si>
    <t>6783334022</t>
  </si>
  <si>
    <t>Obaydah A</t>
  </si>
  <si>
    <t>01/03/2026 12:37 PM</t>
  </si>
  <si>
    <t>03/13/1970 7:00 PM</t>
  </si>
  <si>
    <t>Obaydah</t>
  </si>
  <si>
    <t>A</t>
  </si>
  <si>
    <t>18659647105</t>
  </si>
  <si>
    <t>https://wa.me/18659647105</t>
  </si>
  <si>
    <t>Obaydah@hotmail.com</t>
  </si>
  <si>
    <t>4970 nw 17</t>
  </si>
  <si>
    <t>8659647105</t>
  </si>
  <si>
    <t>leyssa JeanBaptiste</t>
  </si>
  <si>
    <t>01/02/2026 6:06 PM</t>
  </si>
  <si>
    <t>05/10/1990 8:00 PM</t>
  </si>
  <si>
    <t>leyssa</t>
  </si>
  <si>
    <t>JeanBaptiste</t>
  </si>
  <si>
    <t>13057530953</t>
  </si>
  <si>
    <t>https://wa.me/13057530953</t>
  </si>
  <si>
    <t>leyssa.jb@gmail.com</t>
  </si>
  <si>
    <t>9319 Wedgewood Dr</t>
  </si>
  <si>
    <t>Leyssa</t>
  </si>
  <si>
    <t>3057530953</t>
  </si>
  <si>
    <t>Gloria Dziamalek</t>
  </si>
  <si>
    <t>01/01/2026 11:20 PM</t>
  </si>
  <si>
    <t>10/25/1963 7:05 PM</t>
  </si>
  <si>
    <t>Gloria</t>
  </si>
  <si>
    <t>Dziamalek</t>
  </si>
  <si>
    <t>19542983147</t>
  </si>
  <si>
    <t>https://wa.me/19542983147</t>
  </si>
  <si>
    <t>begloe1025@hotmail.com</t>
  </si>
  <si>
    <t>8000 Hampton blvd</t>
  </si>
  <si>
    <t>9542983147</t>
  </si>
  <si>
    <t>Katherine Montes</t>
  </si>
  <si>
    <t>12/29/2025 11:45 AM</t>
  </si>
  <si>
    <t>07/07/1980 8:00 PM</t>
  </si>
  <si>
    <t>Katherine</t>
  </si>
  <si>
    <t>Montes</t>
  </si>
  <si>
    <t>19549909669</t>
  </si>
  <si>
    <t>https://wa.me/19549909669</t>
  </si>
  <si>
    <t>Katmontes80@gmail.com</t>
  </si>
  <si>
    <t>7856 Catalina Circle</t>
  </si>
  <si>
    <t>9549909669</t>
  </si>
  <si>
    <t>Amy Pisani</t>
  </si>
  <si>
    <t>12/27/2025 7:23 AM</t>
  </si>
  <si>
    <t>11/12/1974 7:00 PM</t>
  </si>
  <si>
    <t>Amy</t>
  </si>
  <si>
    <t>Pisani</t>
  </si>
  <si>
    <t>19548188189</t>
  </si>
  <si>
    <t>https://wa.me/19548188189</t>
  </si>
  <si>
    <t>aap1113@gmail.com</t>
  </si>
  <si>
    <t>7980 NW 89th Ave</t>
  </si>
  <si>
    <t>9548188189</t>
  </si>
  <si>
    <t>Nicolene Smiley</t>
  </si>
  <si>
    <t>12/27/2025 2:31 AM</t>
  </si>
  <si>
    <t>06/16/1998 8:00 PM</t>
  </si>
  <si>
    <t>Nicolene</t>
  </si>
  <si>
    <t>Smiley</t>
  </si>
  <si>
    <t>19548894223</t>
  </si>
  <si>
    <t>https://wa.me/19548894223</t>
  </si>
  <si>
    <t>Nicoleneg17@icloud.com</t>
  </si>
  <si>
    <t>8005 SW Sixth Ct</t>
  </si>
  <si>
    <t>9548894223</t>
  </si>
  <si>
    <t>Elizabeth Moise</t>
  </si>
  <si>
    <t>12/23/2025 5:02 AM</t>
  </si>
  <si>
    <t>06/13/2002 8:00 PM</t>
  </si>
  <si>
    <t>Elizabeth</t>
  </si>
  <si>
    <t>Moise</t>
  </si>
  <si>
    <t>19542988766</t>
  </si>
  <si>
    <t>https://wa.me/19542988766</t>
  </si>
  <si>
    <t>moise12@mail.broward.edu</t>
  </si>
  <si>
    <t>8724 NW 83rd St</t>
  </si>
  <si>
    <t>9542988766</t>
  </si>
  <si>
    <t>Ira Rod</t>
  </si>
  <si>
    <t>12/17/2025 11:11 AM</t>
  </si>
  <si>
    <t>01/08/1980 7:00 PM</t>
  </si>
  <si>
    <t>Ira</t>
  </si>
  <si>
    <t>Rod</t>
  </si>
  <si>
    <t>13026432243</t>
  </si>
  <si>
    <t>https://wa.me/13026432243</t>
  </si>
  <si>
    <t>Irarod@outlook.com</t>
  </si>
  <si>
    <t>2510 West 67th Place</t>
  </si>
  <si>
    <t>Iraida</t>
  </si>
  <si>
    <t>Rodriguez</t>
  </si>
  <si>
    <t>3026432243</t>
  </si>
  <si>
    <t>Jhoanny Herrera</t>
  </si>
  <si>
    <t>12/16/2025 2:49 PM</t>
  </si>
  <si>
    <t>11/09/1987 7:00 PM</t>
  </si>
  <si>
    <t>Jhoanny</t>
  </si>
  <si>
    <t>19542285756</t>
  </si>
  <si>
    <t>https://wa.me/19542285756</t>
  </si>
  <si>
    <t>jhoannyh171@gmail.com</t>
  </si>
  <si>
    <t>4217 Nw 109th Terrace</t>
  </si>
  <si>
    <t>JHOANNY</t>
  </si>
  <si>
    <t>MURGA</t>
  </si>
  <si>
    <t>9542285756</t>
  </si>
  <si>
    <t>Sashana Graham</t>
  </si>
  <si>
    <t>12/16/2025 12:55 PM</t>
  </si>
  <si>
    <t>09/13/1988 1:00 PM</t>
  </si>
  <si>
    <t>Sashana</t>
  </si>
  <si>
    <t>Graham</t>
  </si>
  <si>
    <t>19544704914</t>
  </si>
  <si>
    <t>https://wa.me/19544704914</t>
  </si>
  <si>
    <t>scg_913@yahoo.com</t>
  </si>
  <si>
    <t>5930 Abbey Rd. Tamarac, FL 33321</t>
  </si>
  <si>
    <t>9544704914</t>
  </si>
  <si>
    <t>Alastair Wilmot</t>
  </si>
  <si>
    <t>12/16/2025 7:07 AM</t>
  </si>
  <si>
    <t>06/07/1990 8:00 PM</t>
  </si>
  <si>
    <t>Alastair</t>
  </si>
  <si>
    <t>Wilmot</t>
  </si>
  <si>
    <t>19546107476</t>
  </si>
  <si>
    <t>https://wa.me/19546107476</t>
  </si>
  <si>
    <t>Almyuniverse2020@gmail.com</t>
  </si>
  <si>
    <t>5640 NW 58th Lane</t>
  </si>
  <si>
    <t>9546107476</t>
  </si>
  <si>
    <t>Christina Francois</t>
  </si>
  <si>
    <t>12/13/2025 3:09 PM</t>
  </si>
  <si>
    <t>12/15/2025 1:14 PM</t>
  </si>
  <si>
    <t>06/27/1988 8:00 PM</t>
  </si>
  <si>
    <t>Christina</t>
  </si>
  <si>
    <t>17863972419</t>
  </si>
  <si>
    <t>https://wa.me/17863972419</t>
  </si>
  <si>
    <t>Tina.francois28@gmail.com</t>
  </si>
  <si>
    <t>8011 NW 71st Ct</t>
  </si>
  <si>
    <t>7863972419</t>
  </si>
  <si>
    <t>Amadeus Hills</t>
  </si>
  <si>
    <t>12/13/2025 1:59 AM</t>
  </si>
  <si>
    <t>08/09/2005 8:00 PM</t>
  </si>
  <si>
    <t>Amadeus</t>
  </si>
  <si>
    <t>Hills</t>
  </si>
  <si>
    <t>17868659503</t>
  </si>
  <si>
    <t>https://wa.me/17868659503</t>
  </si>
  <si>
    <t>1300 sw 125th Ave Pembroke Pines</t>
  </si>
  <si>
    <t>1300 Sw 125th Ave</t>
  </si>
  <si>
    <t>7868659503</t>
  </si>
  <si>
    <t>Liana Grant</t>
  </si>
  <si>
    <t>12/11/2025 10:59 AM</t>
  </si>
  <si>
    <t>04/04/1969 7:00 PM</t>
  </si>
  <si>
    <t>Liana</t>
  </si>
  <si>
    <t>19542436914</t>
  </si>
  <si>
    <t>https://wa.me/19542436914</t>
  </si>
  <si>
    <t>Whitehair05@gmail.com</t>
  </si>
  <si>
    <t>5723 nw 87th ave</t>
  </si>
  <si>
    <t>9542436914</t>
  </si>
  <si>
    <t>Info @onestop</t>
  </si>
  <si>
    <t>12/10/2025 2:51 AM</t>
  </si>
  <si>
    <t>03/08/1982 12:15 PM</t>
  </si>
  <si>
    <t>Info</t>
  </si>
  <si>
    <t>@onestop</t>
  </si>
  <si>
    <t>19542573000</t>
  </si>
  <si>
    <t>https://wa.me/19542573000</t>
  </si>
  <si>
    <t>Info@onestop4printing.com</t>
  </si>
  <si>
    <t>4768 W. Commercial blvd Tamarac FL 33319</t>
  </si>
  <si>
    <t>Maya</t>
  </si>
  <si>
    <t>Gayot</t>
  </si>
  <si>
    <t>7544446438</t>
  </si>
  <si>
    <t>Prefer not to say</t>
  </si>
  <si>
    <t>Calendar</t>
  </si>
  <si>
    <t>YES</t>
  </si>
  <si>
    <t>sharina.nicola@gmail.com</t>
  </si>
  <si>
    <t>2139 n university dr 2202 Coral Springs dr 33071</t>
  </si>
  <si>
    <t>Hudson</t>
  </si>
  <si>
    <t>Sharina</t>
  </si>
  <si>
    <t>varenskafrancois@icloud.com</t>
  </si>
  <si>
    <t>3549 nw 34th st lauderdale lakes fl 33309</t>
  </si>
  <si>
    <t>lex@lexpromotions.com</t>
  </si>
  <si>
    <t>Lex@Lexpromotions.com</t>
  </si>
  <si>
    <t>Pierre louis</t>
  </si>
  <si>
    <t>Lex</t>
  </si>
  <si>
    <t>outar425@gmail.com</t>
  </si>
  <si>
    <t>400 sw 75th ave north lauderdale fl 33068</t>
  </si>
  <si>
    <t>Outar</t>
  </si>
  <si>
    <t>Omar</t>
  </si>
  <si>
    <t>105 royal park dr apt 1c Oakland park fl 33309</t>
  </si>
  <si>
    <t>precious_otis@yahoo.com</t>
  </si>
  <si>
    <t>smithsteinpv@aol.com</t>
  </si>
  <si>
    <t>240 NW 128 Drive</t>
  </si>
  <si>
    <t>Smithstein</t>
  </si>
  <si>
    <t>Sam</t>
  </si>
  <si>
    <t>6191 Laurel Lane</t>
  </si>
  <si>
    <t xml:space="preserve">Antonelli </t>
  </si>
  <si>
    <t>JesseJames</t>
  </si>
  <si>
    <t>sade0720@gmail.com</t>
  </si>
  <si>
    <t>3876 w commercial blvd</t>
  </si>
  <si>
    <t>Weekes</t>
  </si>
  <si>
    <t>Shaquilla</t>
  </si>
  <si>
    <t>notprovided</t>
  </si>
  <si>
    <t>dob</t>
  </si>
  <si>
    <t>Link</t>
  </si>
  <si>
    <t>Registration Method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</si>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</sst>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1" applyFill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1" fillId="5" borderId="1" xfId="0" applyFont="1" applyFill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1" fillId="5" borderId="2" xfId="0" applyFont="1" applyFill="1" applyBorder="1"/>
    <xf numFmtId="0" fontId="1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ULA@BRIGHTOLOGYLIGH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61"/>
  <sheetViews>
    <sheetView topLeftCell="B1" workbookViewId="0">
      <selection activeCell="T59" sqref="T59"/>
    </sheetView>
  </sheetViews>
  <sheetFormatPr defaultRowHeight="15.75" x14ac:dyDescent="0.25"/>
  <cols>
    <col min="14" max="14" width="25.625" bestFit="1" customWidth="1"/>
    <col min="15" max="15" width="33.25" bestFit="1" customWidth="1"/>
    <col min="17" max="17" width="37.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655</v>
      </c>
    </row>
    <row r="2" spans="1:35" hidden="1" x14ac:dyDescent="0.25">
      <c r="A2">
        <v>67229</v>
      </c>
      <c r="B2">
        <v>64017</v>
      </c>
      <c r="C2" t="s">
        <v>33</v>
      </c>
      <c r="D2" t="s">
        <v>34</v>
      </c>
      <c r="E2" t="b">
        <v>0</v>
      </c>
      <c r="F2" t="s">
        <v>35</v>
      </c>
      <c r="G2" t="s">
        <v>35</v>
      </c>
      <c r="H2" t="s">
        <v>36</v>
      </c>
      <c r="I2" t="s">
        <v>37</v>
      </c>
      <c r="J2" t="s">
        <v>38</v>
      </c>
      <c r="K2" t="b">
        <v>1</v>
      </c>
      <c r="L2" t="s">
        <v>10</v>
      </c>
      <c r="M2" t="s">
        <v>39</v>
      </c>
      <c r="N2" t="s">
        <v>40</v>
      </c>
      <c r="O2" t="s">
        <v>41</v>
      </c>
      <c r="P2" t="s">
        <v>33</v>
      </c>
      <c r="Q2" t="s">
        <v>42</v>
      </c>
      <c r="R2" t="s">
        <v>37</v>
      </c>
      <c r="S2" t="s">
        <v>38</v>
      </c>
      <c r="T2" t="s">
        <v>43</v>
      </c>
      <c r="U2" t="s">
        <v>44</v>
      </c>
      <c r="V2" t="s">
        <v>45</v>
      </c>
      <c r="W2" t="s">
        <v>45</v>
      </c>
      <c r="X2">
        <v>1</v>
      </c>
      <c r="Y2" t="b">
        <v>0</v>
      </c>
      <c r="AC2" t="s">
        <v>46</v>
      </c>
      <c r="AD2" t="b">
        <v>1</v>
      </c>
      <c r="AE2" t="s">
        <v>47</v>
      </c>
      <c r="AG2" t="s">
        <v>33</v>
      </c>
      <c r="AH2" t="s">
        <v>656</v>
      </c>
      <c r="AI2" t="str">
        <f>VLOOKUP(O2,SQL!$E$1:$G$62,3,0)</f>
        <v>Calendar</v>
      </c>
    </row>
    <row r="3" spans="1:35" hidden="1" x14ac:dyDescent="0.25">
      <c r="A3">
        <v>67228</v>
      </c>
      <c r="B3">
        <v>64016</v>
      </c>
      <c r="C3" t="s">
        <v>33</v>
      </c>
      <c r="D3" t="s">
        <v>48</v>
      </c>
      <c r="E3" t="b">
        <v>0</v>
      </c>
      <c r="F3" t="s">
        <v>49</v>
      </c>
      <c r="G3" t="s">
        <v>49</v>
      </c>
      <c r="H3" t="s">
        <v>50</v>
      </c>
      <c r="I3" t="s">
        <v>51</v>
      </c>
      <c r="J3" t="s">
        <v>52</v>
      </c>
      <c r="K3" t="b">
        <v>1</v>
      </c>
      <c r="L3" t="s">
        <v>10</v>
      </c>
      <c r="M3" t="s">
        <v>53</v>
      </c>
      <c r="N3" t="s">
        <v>54</v>
      </c>
      <c r="O3" t="s">
        <v>55</v>
      </c>
      <c r="P3" t="s">
        <v>33</v>
      </c>
      <c r="Q3" t="s">
        <v>56</v>
      </c>
      <c r="R3" t="s">
        <v>51</v>
      </c>
      <c r="S3" t="s">
        <v>52</v>
      </c>
      <c r="T3" t="s">
        <v>57</v>
      </c>
      <c r="U3" t="s">
        <v>44</v>
      </c>
      <c r="V3" t="s">
        <v>45</v>
      </c>
      <c r="W3" t="s">
        <v>45</v>
      </c>
      <c r="X3">
        <v>1</v>
      </c>
      <c r="Y3" t="b">
        <v>0</v>
      </c>
      <c r="AC3" t="s">
        <v>46</v>
      </c>
      <c r="AD3" t="b">
        <v>1</v>
      </c>
      <c r="AE3" t="s">
        <v>47</v>
      </c>
      <c r="AG3" t="s">
        <v>58</v>
      </c>
      <c r="AH3" t="s">
        <v>656</v>
      </c>
      <c r="AI3" t="str">
        <f>VLOOKUP(O3,SQL!$E$1:$G$62,3,0)</f>
        <v>Calendar</v>
      </c>
    </row>
    <row r="4" spans="1:35" x14ac:dyDescent="0.25">
      <c r="A4">
        <v>67223</v>
      </c>
      <c r="B4">
        <v>64011</v>
      </c>
      <c r="C4" t="s">
        <v>33</v>
      </c>
      <c r="D4" t="s">
        <v>59</v>
      </c>
      <c r="E4" t="b">
        <v>0</v>
      </c>
      <c r="F4" t="s">
        <v>60</v>
      </c>
      <c r="G4" t="s">
        <v>60</v>
      </c>
      <c r="H4" t="s">
        <v>61</v>
      </c>
      <c r="I4" t="s">
        <v>62</v>
      </c>
      <c r="J4" t="s">
        <v>63</v>
      </c>
      <c r="K4" t="b">
        <v>1</v>
      </c>
      <c r="L4" t="s">
        <v>10</v>
      </c>
      <c r="M4" t="s">
        <v>64</v>
      </c>
      <c r="N4" t="s">
        <v>65</v>
      </c>
      <c r="O4" t="s">
        <v>66</v>
      </c>
      <c r="P4" t="s">
        <v>33</v>
      </c>
      <c r="Q4" t="s">
        <v>67</v>
      </c>
      <c r="R4" t="s">
        <v>68</v>
      </c>
      <c r="S4" t="s">
        <v>69</v>
      </c>
      <c r="T4" t="s">
        <v>70</v>
      </c>
      <c r="U4" t="s">
        <v>44</v>
      </c>
      <c r="V4" t="s">
        <v>45</v>
      </c>
      <c r="W4" t="s">
        <v>45</v>
      </c>
      <c r="X4">
        <v>1</v>
      </c>
      <c r="Y4" t="b">
        <v>0</v>
      </c>
      <c r="AC4" t="s">
        <v>46</v>
      </c>
      <c r="AD4" t="b">
        <v>1</v>
      </c>
      <c r="AE4" t="s">
        <v>47</v>
      </c>
      <c r="AG4" t="s">
        <v>33</v>
      </c>
      <c r="AH4" t="s">
        <v>656</v>
      </c>
      <c r="AI4" t="str">
        <f>VLOOKUP(O4,SQL!$E$1:$G$62,3,0)</f>
        <v>Calendar</v>
      </c>
    </row>
    <row r="5" spans="1:35" s="2" customFormat="1" x14ac:dyDescent="0.25">
      <c r="A5" s="2">
        <v>67221</v>
      </c>
      <c r="B5" s="2">
        <v>64006</v>
      </c>
      <c r="C5" s="2" t="s">
        <v>33</v>
      </c>
      <c r="D5" s="2" t="s">
        <v>71</v>
      </c>
      <c r="E5" s="2" t="b">
        <v>0</v>
      </c>
      <c r="F5" s="2" t="s">
        <v>72</v>
      </c>
      <c r="G5" s="2" t="s">
        <v>72</v>
      </c>
      <c r="H5" s="2" t="s">
        <v>73</v>
      </c>
      <c r="I5" s="2" t="s">
        <v>74</v>
      </c>
      <c r="J5" s="2" t="s">
        <v>75</v>
      </c>
      <c r="K5" s="2" t="b">
        <v>1</v>
      </c>
      <c r="L5" s="2" t="s">
        <v>10</v>
      </c>
      <c r="M5" s="2" t="s">
        <v>76</v>
      </c>
      <c r="N5" s="2" t="s">
        <v>77</v>
      </c>
      <c r="O5" s="2" t="s">
        <v>78</v>
      </c>
      <c r="P5" s="2" t="s">
        <v>33</v>
      </c>
      <c r="Q5" s="2" t="s">
        <v>79</v>
      </c>
      <c r="R5" s="2" t="s">
        <v>80</v>
      </c>
      <c r="S5" s="2" t="s">
        <v>81</v>
      </c>
      <c r="T5" s="2" t="s">
        <v>82</v>
      </c>
      <c r="U5" s="2" t="s">
        <v>44</v>
      </c>
      <c r="V5" s="2" t="s">
        <v>45</v>
      </c>
      <c r="W5" s="2" t="s">
        <v>45</v>
      </c>
      <c r="X5" s="2">
        <v>1</v>
      </c>
      <c r="Y5" s="2" t="b">
        <v>0</v>
      </c>
      <c r="AC5" s="2" t="s">
        <v>46</v>
      </c>
      <c r="AD5" s="2" t="b">
        <v>1</v>
      </c>
      <c r="AE5" s="2" t="s">
        <v>47</v>
      </c>
      <c r="AG5" s="2" t="s">
        <v>83</v>
      </c>
      <c r="AH5" s="2" t="s">
        <v>656</v>
      </c>
      <c r="AI5" s="2" t="str">
        <f>VLOOKUP(O5,SQL!$E$1:$G$62,3,0)</f>
        <v>Calendar</v>
      </c>
    </row>
    <row r="6" spans="1:35" hidden="1" x14ac:dyDescent="0.25">
      <c r="A6">
        <v>67209</v>
      </c>
      <c r="B6">
        <v>63996</v>
      </c>
      <c r="C6" t="s">
        <v>33</v>
      </c>
      <c r="D6" t="s">
        <v>84</v>
      </c>
      <c r="E6" t="b">
        <v>0</v>
      </c>
      <c r="F6" t="s">
        <v>85</v>
      </c>
      <c r="G6" t="s">
        <v>85</v>
      </c>
      <c r="H6" t="s">
        <v>86</v>
      </c>
      <c r="I6" t="s">
        <v>87</v>
      </c>
      <c r="J6" t="s">
        <v>88</v>
      </c>
      <c r="K6" t="b">
        <v>1</v>
      </c>
      <c r="L6" t="s">
        <v>10</v>
      </c>
      <c r="M6" t="s">
        <v>89</v>
      </c>
      <c r="N6" t="s">
        <v>90</v>
      </c>
      <c r="O6" t="s">
        <v>91</v>
      </c>
      <c r="P6" t="s">
        <v>33</v>
      </c>
      <c r="Q6" t="s">
        <v>92</v>
      </c>
      <c r="R6" t="s">
        <v>93</v>
      </c>
      <c r="S6" t="s">
        <v>88</v>
      </c>
      <c r="T6" t="s">
        <v>94</v>
      </c>
      <c r="U6" t="s">
        <v>44</v>
      </c>
      <c r="V6" t="s">
        <v>45</v>
      </c>
      <c r="W6" t="s">
        <v>45</v>
      </c>
      <c r="X6">
        <v>1</v>
      </c>
      <c r="Y6" t="b">
        <v>0</v>
      </c>
      <c r="AC6" t="s">
        <v>46</v>
      </c>
      <c r="AD6" t="b">
        <v>1</v>
      </c>
      <c r="AE6" t="s">
        <v>47</v>
      </c>
      <c r="AG6" t="s">
        <v>95</v>
      </c>
      <c r="AH6" t="s">
        <v>656</v>
      </c>
      <c r="AI6" t="e">
        <f>VLOOKUP(O6,SQL!$E$1:$G$62,3,0)</f>
        <v>#N/A</v>
      </c>
    </row>
    <row r="7" spans="1:35" hidden="1" x14ac:dyDescent="0.25">
      <c r="A7">
        <v>67176</v>
      </c>
      <c r="B7">
        <v>63981</v>
      </c>
      <c r="C7" t="s">
        <v>33</v>
      </c>
      <c r="D7" t="s">
        <v>96</v>
      </c>
      <c r="E7" t="b">
        <v>0</v>
      </c>
      <c r="F7" t="s">
        <v>97</v>
      </c>
      <c r="G7" t="s">
        <v>97</v>
      </c>
      <c r="H7" t="s">
        <v>98</v>
      </c>
      <c r="I7" t="s">
        <v>99</v>
      </c>
      <c r="J7" t="s">
        <v>100</v>
      </c>
      <c r="K7" t="b">
        <v>1</v>
      </c>
      <c r="L7" t="s">
        <v>10</v>
      </c>
      <c r="M7" t="s">
        <v>101</v>
      </c>
      <c r="N7" t="s">
        <v>102</v>
      </c>
      <c r="O7" t="s">
        <v>103</v>
      </c>
      <c r="P7" t="s">
        <v>33</v>
      </c>
      <c r="Q7" t="s">
        <v>104</v>
      </c>
      <c r="R7" t="s">
        <v>99</v>
      </c>
      <c r="S7" t="s">
        <v>100</v>
      </c>
      <c r="T7" t="s">
        <v>105</v>
      </c>
      <c r="U7" t="s">
        <v>44</v>
      </c>
      <c r="V7" t="s">
        <v>45</v>
      </c>
      <c r="W7" t="s">
        <v>45</v>
      </c>
      <c r="X7">
        <v>1</v>
      </c>
      <c r="Y7" t="b">
        <v>0</v>
      </c>
      <c r="AC7" t="s">
        <v>46</v>
      </c>
      <c r="AD7" t="b">
        <v>1</v>
      </c>
      <c r="AE7" t="s">
        <v>47</v>
      </c>
      <c r="AG7" t="s">
        <v>106</v>
      </c>
      <c r="AH7" t="s">
        <v>656</v>
      </c>
      <c r="AI7" t="str">
        <f>VLOOKUP(O7,SQL!$E$1:$G$62,3,0)</f>
        <v>Calendar</v>
      </c>
    </row>
    <row r="8" spans="1:35" s="2" customFormat="1" x14ac:dyDescent="0.25">
      <c r="A8" s="2">
        <v>67171</v>
      </c>
      <c r="B8" s="2">
        <v>63970</v>
      </c>
      <c r="C8" s="2" t="s">
        <v>33</v>
      </c>
      <c r="D8" s="2" t="s">
        <v>107</v>
      </c>
      <c r="E8" s="2" t="b">
        <v>0</v>
      </c>
      <c r="F8" s="2" t="s">
        <v>108</v>
      </c>
      <c r="G8" s="2" t="s">
        <v>108</v>
      </c>
      <c r="H8" s="2" t="s">
        <v>109</v>
      </c>
      <c r="I8" s="2" t="s">
        <v>110</v>
      </c>
      <c r="J8" s="2" t="s">
        <v>111</v>
      </c>
      <c r="K8" s="2" t="b">
        <v>1</v>
      </c>
      <c r="L8" s="2" t="s">
        <v>10</v>
      </c>
      <c r="M8" s="2" t="s">
        <v>112</v>
      </c>
      <c r="N8" s="2" t="s">
        <v>113</v>
      </c>
      <c r="O8" s="3" t="s">
        <v>114</v>
      </c>
      <c r="P8" s="2" t="s">
        <v>33</v>
      </c>
      <c r="Q8" s="2" t="s">
        <v>115</v>
      </c>
      <c r="R8" s="2" t="s">
        <v>110</v>
      </c>
      <c r="S8" s="2" t="s">
        <v>111</v>
      </c>
      <c r="T8" s="2" t="s">
        <v>116</v>
      </c>
      <c r="U8" s="2" t="s">
        <v>44</v>
      </c>
      <c r="V8" s="2" t="s">
        <v>45</v>
      </c>
      <c r="W8" s="2" t="s">
        <v>45</v>
      </c>
      <c r="X8" s="2">
        <v>1</v>
      </c>
      <c r="Y8" s="2" t="b">
        <v>0</v>
      </c>
      <c r="AC8" s="2" t="s">
        <v>46</v>
      </c>
      <c r="AD8" s="2" t="b">
        <v>1</v>
      </c>
      <c r="AE8" s="2" t="s">
        <v>47</v>
      </c>
      <c r="AG8" s="2" t="s">
        <v>117</v>
      </c>
      <c r="AH8" s="2" t="s">
        <v>656</v>
      </c>
      <c r="AI8" s="2" t="str">
        <f>VLOOKUP(O8,SQL!$E$1:$G$62,3,0)</f>
        <v>Calendar</v>
      </c>
    </row>
    <row r="9" spans="1:35" hidden="1" x14ac:dyDescent="0.25">
      <c r="A9">
        <v>67118</v>
      </c>
      <c r="B9">
        <v>63917</v>
      </c>
      <c r="C9" t="s">
        <v>33</v>
      </c>
      <c r="D9" t="s">
        <v>118</v>
      </c>
      <c r="E9" t="b">
        <v>0</v>
      </c>
      <c r="F9" t="s">
        <v>119</v>
      </c>
      <c r="G9" t="s">
        <v>119</v>
      </c>
      <c r="H9" t="s">
        <v>120</v>
      </c>
      <c r="I9" t="s">
        <v>121</v>
      </c>
      <c r="J9" t="s">
        <v>122</v>
      </c>
      <c r="K9" t="b">
        <v>1</v>
      </c>
      <c r="L9" t="s">
        <v>10</v>
      </c>
      <c r="M9" t="s">
        <v>123</v>
      </c>
      <c r="N9" t="s">
        <v>124</v>
      </c>
      <c r="O9" t="s">
        <v>125</v>
      </c>
      <c r="P9" t="s">
        <v>33</v>
      </c>
      <c r="Q9" t="s">
        <v>126</v>
      </c>
      <c r="R9" t="s">
        <v>121</v>
      </c>
      <c r="S9" t="s">
        <v>122</v>
      </c>
      <c r="T9" t="s">
        <v>127</v>
      </c>
      <c r="U9" t="s">
        <v>44</v>
      </c>
      <c r="V9" t="s">
        <v>45</v>
      </c>
      <c r="W9" t="s">
        <v>45</v>
      </c>
      <c r="X9">
        <v>1</v>
      </c>
      <c r="Y9" t="b">
        <v>0</v>
      </c>
      <c r="AC9" t="s">
        <v>46</v>
      </c>
      <c r="AD9" t="b">
        <v>1</v>
      </c>
      <c r="AE9" t="s">
        <v>47</v>
      </c>
      <c r="AG9" t="s">
        <v>117</v>
      </c>
      <c r="AH9" t="s">
        <v>656</v>
      </c>
      <c r="AI9" t="str">
        <f>VLOOKUP(O9,SQL!$E$1:$G$62,3,0)</f>
        <v>Calendar</v>
      </c>
    </row>
    <row r="10" spans="1:35" hidden="1" x14ac:dyDescent="0.25">
      <c r="A10">
        <v>67072</v>
      </c>
      <c r="B10">
        <v>63874</v>
      </c>
      <c r="C10" t="s">
        <v>33</v>
      </c>
      <c r="D10" t="s">
        <v>128</v>
      </c>
      <c r="E10" t="b">
        <v>0</v>
      </c>
      <c r="F10" t="s">
        <v>129</v>
      </c>
      <c r="G10" t="s">
        <v>129</v>
      </c>
      <c r="H10" t="s">
        <v>130</v>
      </c>
      <c r="I10" t="s">
        <v>131</v>
      </c>
      <c r="J10" t="s">
        <v>132</v>
      </c>
      <c r="K10" t="b">
        <v>1</v>
      </c>
      <c r="L10" t="s">
        <v>10</v>
      </c>
      <c r="M10" t="s">
        <v>133</v>
      </c>
      <c r="N10" t="s">
        <v>134</v>
      </c>
      <c r="O10" t="s">
        <v>135</v>
      </c>
      <c r="P10" t="s">
        <v>33</v>
      </c>
      <c r="Q10" t="s">
        <v>136</v>
      </c>
      <c r="R10" t="s">
        <v>131</v>
      </c>
      <c r="S10" t="s">
        <v>132</v>
      </c>
      <c r="T10" t="s">
        <v>137</v>
      </c>
      <c r="U10" t="s">
        <v>44</v>
      </c>
      <c r="V10" t="s">
        <v>45</v>
      </c>
      <c r="W10" t="s">
        <v>45</v>
      </c>
      <c r="X10">
        <v>1</v>
      </c>
      <c r="Y10" t="b">
        <v>0</v>
      </c>
      <c r="AC10" t="s">
        <v>46</v>
      </c>
      <c r="AD10" t="b">
        <v>1</v>
      </c>
      <c r="AE10" t="s">
        <v>47</v>
      </c>
      <c r="AG10" t="s">
        <v>58</v>
      </c>
      <c r="AH10" t="s">
        <v>656</v>
      </c>
      <c r="AI10" t="str">
        <f>VLOOKUP(O10,SQL!$E$1:$G$62,3,0)</f>
        <v>Calendar</v>
      </c>
    </row>
    <row r="11" spans="1:35" hidden="1" x14ac:dyDescent="0.25">
      <c r="A11">
        <v>67071</v>
      </c>
      <c r="B11">
        <v>63873</v>
      </c>
      <c r="C11" t="s">
        <v>33</v>
      </c>
      <c r="D11" t="s">
        <v>138</v>
      </c>
      <c r="E11" t="b">
        <v>0</v>
      </c>
      <c r="F11" t="s">
        <v>139</v>
      </c>
      <c r="G11" t="s">
        <v>139</v>
      </c>
      <c r="H11" t="s">
        <v>140</v>
      </c>
      <c r="I11" t="s">
        <v>141</v>
      </c>
      <c r="J11" t="s">
        <v>142</v>
      </c>
      <c r="K11" t="b">
        <v>1</v>
      </c>
      <c r="L11" t="s">
        <v>10</v>
      </c>
      <c r="M11" t="s">
        <v>143</v>
      </c>
      <c r="N11" t="s">
        <v>144</v>
      </c>
      <c r="O11" t="s">
        <v>145</v>
      </c>
      <c r="P11" t="s">
        <v>33</v>
      </c>
      <c r="Q11" t="s">
        <v>146</v>
      </c>
      <c r="R11" t="s">
        <v>141</v>
      </c>
      <c r="S11" t="s">
        <v>142</v>
      </c>
      <c r="T11" t="s">
        <v>147</v>
      </c>
      <c r="U11" t="s">
        <v>44</v>
      </c>
      <c r="V11" t="s">
        <v>45</v>
      </c>
      <c r="W11" t="s">
        <v>45</v>
      </c>
      <c r="X11">
        <v>1</v>
      </c>
      <c r="Y11" t="b">
        <v>0</v>
      </c>
      <c r="AC11" t="s">
        <v>46</v>
      </c>
      <c r="AD11" t="b">
        <v>1</v>
      </c>
      <c r="AE11" t="s">
        <v>47</v>
      </c>
      <c r="AG11" t="s">
        <v>58</v>
      </c>
      <c r="AH11" t="s">
        <v>656</v>
      </c>
      <c r="AI11" t="str">
        <f>VLOOKUP(O11,SQL!$E$1:$G$62,3,0)</f>
        <v>Calendar</v>
      </c>
    </row>
    <row r="12" spans="1:35" hidden="1" x14ac:dyDescent="0.25">
      <c r="A12">
        <v>67068</v>
      </c>
      <c r="B12">
        <v>63868</v>
      </c>
      <c r="C12" t="s">
        <v>33</v>
      </c>
      <c r="D12" t="s">
        <v>148</v>
      </c>
      <c r="E12" t="b">
        <v>0</v>
      </c>
      <c r="F12" t="s">
        <v>149</v>
      </c>
      <c r="G12" t="s">
        <v>149</v>
      </c>
      <c r="H12" t="s">
        <v>150</v>
      </c>
      <c r="I12" t="s">
        <v>151</v>
      </c>
      <c r="J12" t="s">
        <v>122</v>
      </c>
      <c r="K12" t="b">
        <v>1</v>
      </c>
      <c r="L12" t="s">
        <v>10</v>
      </c>
      <c r="M12" t="s">
        <v>152</v>
      </c>
      <c r="N12" t="s">
        <v>153</v>
      </c>
      <c r="O12" t="s">
        <v>154</v>
      </c>
      <c r="P12" t="s">
        <v>33</v>
      </c>
      <c r="Q12" t="s">
        <v>155</v>
      </c>
      <c r="R12" t="s">
        <v>151</v>
      </c>
      <c r="S12" t="s">
        <v>122</v>
      </c>
      <c r="T12" t="s">
        <v>156</v>
      </c>
      <c r="U12" t="s">
        <v>44</v>
      </c>
      <c r="V12" t="s">
        <v>45</v>
      </c>
      <c r="W12" t="s">
        <v>45</v>
      </c>
      <c r="X12">
        <v>1</v>
      </c>
      <c r="Y12" t="b">
        <v>0</v>
      </c>
      <c r="AC12" t="s">
        <v>46</v>
      </c>
      <c r="AD12" t="b">
        <v>1</v>
      </c>
      <c r="AE12" t="s">
        <v>47</v>
      </c>
      <c r="AG12" t="s">
        <v>33</v>
      </c>
      <c r="AH12" t="s">
        <v>656</v>
      </c>
      <c r="AI12" t="str">
        <f>VLOOKUP(O12,SQL!$E$1:$G$62,3,0)</f>
        <v>Calendar</v>
      </c>
    </row>
    <row r="13" spans="1:35" hidden="1" x14ac:dyDescent="0.25">
      <c r="A13">
        <v>66997</v>
      </c>
      <c r="B13">
        <v>39216</v>
      </c>
      <c r="C13" t="s">
        <v>33</v>
      </c>
      <c r="D13" t="s">
        <v>157</v>
      </c>
      <c r="E13" t="b">
        <v>0</v>
      </c>
      <c r="F13" t="s">
        <v>158</v>
      </c>
      <c r="G13" t="s">
        <v>158</v>
      </c>
      <c r="H13" t="s">
        <v>159</v>
      </c>
      <c r="I13" t="s">
        <v>160</v>
      </c>
      <c r="J13" t="s">
        <v>161</v>
      </c>
      <c r="K13" t="b">
        <v>1</v>
      </c>
      <c r="L13" t="s">
        <v>10</v>
      </c>
      <c r="M13" t="s">
        <v>162</v>
      </c>
      <c r="N13" t="s">
        <v>163</v>
      </c>
      <c r="O13" t="s">
        <v>164</v>
      </c>
      <c r="P13" t="s">
        <v>33</v>
      </c>
      <c r="Q13" t="s">
        <v>165</v>
      </c>
      <c r="R13" t="s">
        <v>160</v>
      </c>
      <c r="S13" t="s">
        <v>161</v>
      </c>
      <c r="T13" t="s">
        <v>166</v>
      </c>
      <c r="U13" t="s">
        <v>44</v>
      </c>
      <c r="V13" t="s">
        <v>45</v>
      </c>
      <c r="W13" t="s">
        <v>45</v>
      </c>
      <c r="X13">
        <v>1</v>
      </c>
      <c r="Y13" t="b">
        <v>0</v>
      </c>
      <c r="AC13" t="s">
        <v>46</v>
      </c>
      <c r="AD13" t="b">
        <v>1</v>
      </c>
      <c r="AE13" t="s">
        <v>47</v>
      </c>
      <c r="AG13" t="s">
        <v>106</v>
      </c>
      <c r="AH13" t="s">
        <v>656</v>
      </c>
      <c r="AI13" t="str">
        <f>VLOOKUP(O13,SQL!$E$1:$G$62,3,0)</f>
        <v>Calendar</v>
      </c>
    </row>
    <row r="14" spans="1:35" hidden="1" x14ac:dyDescent="0.25">
      <c r="A14">
        <v>66929</v>
      </c>
      <c r="B14">
        <v>63738</v>
      </c>
      <c r="C14" t="s">
        <v>33</v>
      </c>
      <c r="D14" t="s">
        <v>167</v>
      </c>
      <c r="E14" t="b">
        <v>0</v>
      </c>
      <c r="F14" t="s">
        <v>168</v>
      </c>
      <c r="G14" t="s">
        <v>169</v>
      </c>
      <c r="H14" t="s">
        <v>170</v>
      </c>
      <c r="I14" t="s">
        <v>171</v>
      </c>
      <c r="J14" t="s">
        <v>172</v>
      </c>
      <c r="K14" t="b">
        <v>0</v>
      </c>
      <c r="L14" t="s">
        <v>173</v>
      </c>
      <c r="M14" t="s">
        <v>174</v>
      </c>
      <c r="N14" t="s">
        <v>175</v>
      </c>
      <c r="O14" t="s">
        <v>176</v>
      </c>
      <c r="P14" t="s">
        <v>33</v>
      </c>
      <c r="Q14" t="s">
        <v>177</v>
      </c>
      <c r="R14" t="s">
        <v>171</v>
      </c>
      <c r="S14" t="s">
        <v>172</v>
      </c>
      <c r="T14" t="s">
        <v>178</v>
      </c>
      <c r="U14" t="s">
        <v>44</v>
      </c>
      <c r="V14" t="s">
        <v>45</v>
      </c>
      <c r="W14" t="s">
        <v>45</v>
      </c>
      <c r="X14">
        <v>1</v>
      </c>
      <c r="Y14" t="b">
        <v>0</v>
      </c>
      <c r="AC14" t="s">
        <v>46</v>
      </c>
      <c r="AD14" t="b">
        <v>1</v>
      </c>
      <c r="AE14" t="s">
        <v>47</v>
      </c>
      <c r="AG14" t="s">
        <v>106</v>
      </c>
      <c r="AH14" t="s">
        <v>656</v>
      </c>
      <c r="AI14" t="str">
        <f>VLOOKUP(O14,SQL!$E$1:$G$62,3,0)</f>
        <v>Calendar</v>
      </c>
    </row>
    <row r="15" spans="1:35" hidden="1" x14ac:dyDescent="0.25">
      <c r="A15">
        <v>66941</v>
      </c>
      <c r="B15">
        <v>63748</v>
      </c>
      <c r="C15" t="s">
        <v>33</v>
      </c>
      <c r="D15" t="s">
        <v>179</v>
      </c>
      <c r="E15" t="b">
        <v>0</v>
      </c>
      <c r="F15" t="s">
        <v>180</v>
      </c>
      <c r="G15" t="s">
        <v>180</v>
      </c>
      <c r="H15" t="s">
        <v>181</v>
      </c>
      <c r="I15" t="s">
        <v>182</v>
      </c>
      <c r="J15" t="s">
        <v>183</v>
      </c>
      <c r="K15" t="b">
        <v>1</v>
      </c>
      <c r="L15" t="s">
        <v>10</v>
      </c>
      <c r="M15" t="s">
        <v>184</v>
      </c>
      <c r="N15" t="s">
        <v>185</v>
      </c>
      <c r="O15" t="s">
        <v>186</v>
      </c>
      <c r="P15" t="s">
        <v>33</v>
      </c>
      <c r="Q15" t="s">
        <v>187</v>
      </c>
      <c r="R15" t="s">
        <v>182</v>
      </c>
      <c r="S15" t="s">
        <v>183</v>
      </c>
      <c r="T15" t="s">
        <v>188</v>
      </c>
      <c r="U15" t="s">
        <v>44</v>
      </c>
      <c r="V15" t="s">
        <v>45</v>
      </c>
      <c r="W15" t="s">
        <v>45</v>
      </c>
      <c r="X15">
        <v>1</v>
      </c>
      <c r="Y15" t="b">
        <v>0</v>
      </c>
      <c r="AC15" t="s">
        <v>46</v>
      </c>
      <c r="AD15" t="b">
        <v>1</v>
      </c>
      <c r="AE15" t="s">
        <v>47</v>
      </c>
      <c r="AG15" t="s">
        <v>106</v>
      </c>
      <c r="AH15" t="s">
        <v>656</v>
      </c>
      <c r="AI15" t="str">
        <f>VLOOKUP(O15,SQL!$E$1:$G$62,3,0)</f>
        <v>Calendar</v>
      </c>
    </row>
    <row r="16" spans="1:35" hidden="1" x14ac:dyDescent="0.25">
      <c r="A16">
        <v>66933</v>
      </c>
      <c r="B16">
        <v>63741</v>
      </c>
      <c r="C16" t="s">
        <v>33</v>
      </c>
      <c r="D16" t="s">
        <v>189</v>
      </c>
      <c r="E16" t="b">
        <v>0</v>
      </c>
      <c r="F16" t="s">
        <v>190</v>
      </c>
      <c r="G16" t="s">
        <v>190</v>
      </c>
      <c r="H16" t="s">
        <v>191</v>
      </c>
      <c r="I16" t="s">
        <v>192</v>
      </c>
      <c r="J16" t="s">
        <v>193</v>
      </c>
      <c r="K16" t="b">
        <v>1</v>
      </c>
      <c r="L16" t="s">
        <v>10</v>
      </c>
      <c r="M16" t="s">
        <v>194</v>
      </c>
      <c r="N16" t="s">
        <v>195</v>
      </c>
      <c r="O16" t="s">
        <v>196</v>
      </c>
      <c r="P16" t="s">
        <v>33</v>
      </c>
      <c r="Q16" t="s">
        <v>197</v>
      </c>
      <c r="R16" t="s">
        <v>192</v>
      </c>
      <c r="S16" t="s">
        <v>193</v>
      </c>
      <c r="T16" t="s">
        <v>198</v>
      </c>
      <c r="U16" t="s">
        <v>44</v>
      </c>
      <c r="V16" t="s">
        <v>45</v>
      </c>
      <c r="W16" t="s">
        <v>45</v>
      </c>
      <c r="X16">
        <v>1</v>
      </c>
      <c r="Y16" t="b">
        <v>0</v>
      </c>
      <c r="AC16" t="s">
        <v>46</v>
      </c>
      <c r="AD16" t="b">
        <v>1</v>
      </c>
      <c r="AE16" t="s">
        <v>47</v>
      </c>
      <c r="AG16" t="s">
        <v>106</v>
      </c>
      <c r="AH16" t="s">
        <v>656</v>
      </c>
      <c r="AI16" t="str">
        <f>VLOOKUP(O16,SQL!$E$1:$G$62,3,0)</f>
        <v>Calendar</v>
      </c>
    </row>
    <row r="17" spans="1:35" hidden="1" x14ac:dyDescent="0.25">
      <c r="A17">
        <v>66915</v>
      </c>
      <c r="B17">
        <v>63729</v>
      </c>
      <c r="C17" t="s">
        <v>33</v>
      </c>
      <c r="D17" t="s">
        <v>199</v>
      </c>
      <c r="E17" t="b">
        <v>0</v>
      </c>
      <c r="F17" t="s">
        <v>200</v>
      </c>
      <c r="G17" t="s">
        <v>200</v>
      </c>
      <c r="H17" t="s">
        <v>201</v>
      </c>
      <c r="I17" t="s">
        <v>202</v>
      </c>
      <c r="J17" t="s">
        <v>203</v>
      </c>
      <c r="K17" t="b">
        <v>1</v>
      </c>
      <c r="L17" t="s">
        <v>10</v>
      </c>
      <c r="M17" t="s">
        <v>204</v>
      </c>
      <c r="N17" t="s">
        <v>205</v>
      </c>
      <c r="O17" t="s">
        <v>206</v>
      </c>
      <c r="P17" t="s">
        <v>33</v>
      </c>
      <c r="Q17" t="s">
        <v>207</v>
      </c>
      <c r="R17" t="s">
        <v>202</v>
      </c>
      <c r="S17" t="s">
        <v>203</v>
      </c>
      <c r="T17" t="s">
        <v>208</v>
      </c>
      <c r="U17" t="s">
        <v>44</v>
      </c>
      <c r="V17" t="s">
        <v>45</v>
      </c>
      <c r="W17" t="s">
        <v>45</v>
      </c>
      <c r="X17">
        <v>1</v>
      </c>
      <c r="Y17" t="b">
        <v>0</v>
      </c>
      <c r="AC17" t="s">
        <v>46</v>
      </c>
      <c r="AD17" t="b">
        <v>1</v>
      </c>
      <c r="AE17" t="s">
        <v>47</v>
      </c>
      <c r="AG17" t="s">
        <v>83</v>
      </c>
      <c r="AH17" t="s">
        <v>656</v>
      </c>
      <c r="AI17" t="str">
        <f>VLOOKUP(O17,SQL!$E$1:$G$62,3,0)</f>
        <v>Calendar</v>
      </c>
    </row>
    <row r="18" spans="1:35" hidden="1" x14ac:dyDescent="0.25">
      <c r="A18">
        <v>66914</v>
      </c>
      <c r="B18">
        <v>63728</v>
      </c>
      <c r="C18" t="s">
        <v>33</v>
      </c>
      <c r="D18" t="s">
        <v>209</v>
      </c>
      <c r="E18" t="b">
        <v>0</v>
      </c>
      <c r="F18" t="s">
        <v>210</v>
      </c>
      <c r="G18" t="s">
        <v>210</v>
      </c>
      <c r="H18" t="s">
        <v>211</v>
      </c>
      <c r="I18" t="s">
        <v>212</v>
      </c>
      <c r="J18" t="s">
        <v>213</v>
      </c>
      <c r="K18" t="b">
        <v>1</v>
      </c>
      <c r="L18" t="s">
        <v>10</v>
      </c>
      <c r="M18" t="s">
        <v>214</v>
      </c>
      <c r="N18" t="s">
        <v>215</v>
      </c>
      <c r="O18" t="s">
        <v>216</v>
      </c>
      <c r="P18" t="s">
        <v>33</v>
      </c>
      <c r="Q18" t="s">
        <v>217</v>
      </c>
      <c r="R18" t="s">
        <v>212</v>
      </c>
      <c r="S18" t="s">
        <v>213</v>
      </c>
      <c r="T18" t="s">
        <v>218</v>
      </c>
      <c r="U18" t="s">
        <v>44</v>
      </c>
      <c r="V18" t="s">
        <v>45</v>
      </c>
      <c r="W18" t="s">
        <v>45</v>
      </c>
      <c r="X18">
        <v>1</v>
      </c>
      <c r="Y18" t="b">
        <v>0</v>
      </c>
      <c r="AC18" t="s">
        <v>46</v>
      </c>
      <c r="AD18" t="b">
        <v>1</v>
      </c>
      <c r="AE18" t="s">
        <v>47</v>
      </c>
      <c r="AG18" t="s">
        <v>117</v>
      </c>
      <c r="AH18" t="s">
        <v>656</v>
      </c>
      <c r="AI18" t="str">
        <f>VLOOKUP(O18,SQL!$E$1:$G$62,3,0)</f>
        <v>Calendar</v>
      </c>
    </row>
    <row r="19" spans="1:35" hidden="1" x14ac:dyDescent="0.25">
      <c r="A19">
        <v>66909</v>
      </c>
      <c r="B19">
        <v>63721</v>
      </c>
      <c r="C19" t="s">
        <v>33</v>
      </c>
      <c r="D19" t="s">
        <v>219</v>
      </c>
      <c r="E19" t="b">
        <v>0</v>
      </c>
      <c r="F19" t="s">
        <v>220</v>
      </c>
      <c r="G19" t="s">
        <v>220</v>
      </c>
      <c r="H19" t="s">
        <v>221</v>
      </c>
      <c r="I19" t="s">
        <v>222</v>
      </c>
      <c r="J19" t="s">
        <v>122</v>
      </c>
      <c r="K19" t="b">
        <v>1</v>
      </c>
      <c r="L19" t="s">
        <v>10</v>
      </c>
      <c r="M19" t="s">
        <v>223</v>
      </c>
      <c r="N19" t="s">
        <v>224</v>
      </c>
      <c r="O19" t="s">
        <v>225</v>
      </c>
      <c r="P19" t="s">
        <v>33</v>
      </c>
      <c r="Q19" t="s">
        <v>155</v>
      </c>
      <c r="R19" t="s">
        <v>226</v>
      </c>
      <c r="S19" t="s">
        <v>122</v>
      </c>
      <c r="T19" t="s">
        <v>227</v>
      </c>
      <c r="U19" t="s">
        <v>44</v>
      </c>
      <c r="V19" t="s">
        <v>45</v>
      </c>
      <c r="W19" t="s">
        <v>45</v>
      </c>
      <c r="X19">
        <v>1</v>
      </c>
      <c r="Y19" t="b">
        <v>0</v>
      </c>
      <c r="AC19" t="s">
        <v>46</v>
      </c>
      <c r="AD19" t="b">
        <v>1</v>
      </c>
      <c r="AE19" t="s">
        <v>47</v>
      </c>
      <c r="AG19" t="s">
        <v>83</v>
      </c>
      <c r="AH19" t="s">
        <v>656</v>
      </c>
      <c r="AI19" t="str">
        <f>VLOOKUP(O19,SQL!$E$1:$G$62,3,0)</f>
        <v>Calendar</v>
      </c>
    </row>
    <row r="20" spans="1:35" hidden="1" x14ac:dyDescent="0.25">
      <c r="A20">
        <v>66908</v>
      </c>
      <c r="B20">
        <v>63720</v>
      </c>
      <c r="C20" t="s">
        <v>33</v>
      </c>
      <c r="D20" t="s">
        <v>228</v>
      </c>
      <c r="E20" t="b">
        <v>0</v>
      </c>
      <c r="F20" t="s">
        <v>229</v>
      </c>
      <c r="G20" t="s">
        <v>229</v>
      </c>
      <c r="H20" t="s">
        <v>230</v>
      </c>
      <c r="I20" t="s">
        <v>231</v>
      </c>
      <c r="J20" t="s">
        <v>232</v>
      </c>
      <c r="K20" t="b">
        <v>1</v>
      </c>
      <c r="L20" t="s">
        <v>10</v>
      </c>
      <c r="M20" t="s">
        <v>233</v>
      </c>
      <c r="N20" t="s">
        <v>234</v>
      </c>
      <c r="O20" t="s">
        <v>235</v>
      </c>
      <c r="P20" t="s">
        <v>33</v>
      </c>
      <c r="Q20" t="s">
        <v>236</v>
      </c>
      <c r="R20" t="s">
        <v>237</v>
      </c>
      <c r="S20" t="s">
        <v>238</v>
      </c>
      <c r="T20" t="s">
        <v>239</v>
      </c>
      <c r="U20" t="s">
        <v>44</v>
      </c>
      <c r="V20" t="s">
        <v>45</v>
      </c>
      <c r="W20" t="s">
        <v>45</v>
      </c>
      <c r="X20">
        <v>1</v>
      </c>
      <c r="Y20" t="b">
        <v>0</v>
      </c>
      <c r="AC20" t="s">
        <v>46</v>
      </c>
      <c r="AD20" t="b">
        <v>1</v>
      </c>
      <c r="AE20" t="s">
        <v>47</v>
      </c>
      <c r="AG20" t="s">
        <v>33</v>
      </c>
      <c r="AH20" t="s">
        <v>656</v>
      </c>
      <c r="AI20" t="str">
        <f>VLOOKUP(O20,SQL!$E$1:$G$62,3,0)</f>
        <v>Calendar</v>
      </c>
    </row>
    <row r="21" spans="1:35" hidden="1" x14ac:dyDescent="0.25">
      <c r="A21">
        <v>66907</v>
      </c>
      <c r="B21">
        <v>63718</v>
      </c>
      <c r="C21" t="s">
        <v>33</v>
      </c>
      <c r="D21" t="s">
        <v>240</v>
      </c>
      <c r="E21" t="b">
        <v>0</v>
      </c>
      <c r="F21" t="s">
        <v>241</v>
      </c>
      <c r="G21" t="s">
        <v>241</v>
      </c>
      <c r="H21" t="s">
        <v>242</v>
      </c>
      <c r="I21" t="s">
        <v>243</v>
      </c>
      <c r="J21" t="s">
        <v>244</v>
      </c>
      <c r="K21" t="b">
        <v>1</v>
      </c>
      <c r="L21" t="s">
        <v>10</v>
      </c>
      <c r="M21" t="s">
        <v>245</v>
      </c>
      <c r="N21" t="s">
        <v>246</v>
      </c>
      <c r="O21" t="s">
        <v>247</v>
      </c>
      <c r="P21" t="s">
        <v>33</v>
      </c>
      <c r="Q21" t="s">
        <v>248</v>
      </c>
      <c r="R21" t="s">
        <v>243</v>
      </c>
      <c r="S21" t="s">
        <v>244</v>
      </c>
      <c r="T21" t="s">
        <v>249</v>
      </c>
      <c r="U21" t="s">
        <v>44</v>
      </c>
      <c r="V21" t="s">
        <v>45</v>
      </c>
      <c r="W21" t="s">
        <v>45</v>
      </c>
      <c r="X21">
        <v>1</v>
      </c>
      <c r="Y21" t="b">
        <v>0</v>
      </c>
      <c r="AC21" t="s">
        <v>46</v>
      </c>
      <c r="AD21" t="b">
        <v>1</v>
      </c>
      <c r="AE21" t="s">
        <v>47</v>
      </c>
      <c r="AG21" t="s">
        <v>58</v>
      </c>
      <c r="AH21" t="s">
        <v>656</v>
      </c>
      <c r="AI21" t="str">
        <f>VLOOKUP(O21,SQL!$E$1:$G$62,3,0)</f>
        <v>Calendar</v>
      </c>
    </row>
    <row r="22" spans="1:35" hidden="1" x14ac:dyDescent="0.25">
      <c r="A22">
        <v>66906</v>
      </c>
      <c r="B22">
        <v>63719</v>
      </c>
      <c r="C22" t="s">
        <v>33</v>
      </c>
      <c r="D22" t="s">
        <v>250</v>
      </c>
      <c r="E22" t="b">
        <v>0</v>
      </c>
      <c r="F22" t="s">
        <v>251</v>
      </c>
      <c r="G22" t="s">
        <v>251</v>
      </c>
      <c r="H22" t="s">
        <v>252</v>
      </c>
      <c r="I22" t="s">
        <v>253</v>
      </c>
      <c r="J22" t="s">
        <v>254</v>
      </c>
      <c r="K22" t="b">
        <v>1</v>
      </c>
      <c r="L22" t="s">
        <v>10</v>
      </c>
      <c r="M22" t="s">
        <v>255</v>
      </c>
      <c r="N22" t="s">
        <v>256</v>
      </c>
      <c r="O22" t="s">
        <v>257</v>
      </c>
      <c r="P22" t="s">
        <v>33</v>
      </c>
      <c r="Q22" t="s">
        <v>258</v>
      </c>
      <c r="R22" t="s">
        <v>253</v>
      </c>
      <c r="S22" t="s">
        <v>254</v>
      </c>
      <c r="T22" t="s">
        <v>259</v>
      </c>
      <c r="U22" t="s">
        <v>44</v>
      </c>
      <c r="V22" t="s">
        <v>45</v>
      </c>
      <c r="W22" t="s">
        <v>45</v>
      </c>
      <c r="X22">
        <v>1</v>
      </c>
      <c r="Y22" t="b">
        <v>0</v>
      </c>
      <c r="AC22" t="s">
        <v>46</v>
      </c>
      <c r="AD22" t="b">
        <v>1</v>
      </c>
      <c r="AE22" t="s">
        <v>47</v>
      </c>
      <c r="AG22" t="s">
        <v>117</v>
      </c>
      <c r="AH22" t="s">
        <v>656</v>
      </c>
      <c r="AI22" t="str">
        <f>VLOOKUP(O22,SQL!$E$1:$G$62,3,0)</f>
        <v>Calendar</v>
      </c>
    </row>
    <row r="23" spans="1:35" hidden="1" x14ac:dyDescent="0.25">
      <c r="A23">
        <v>66889</v>
      </c>
      <c r="B23">
        <v>63696</v>
      </c>
      <c r="C23" t="s">
        <v>33</v>
      </c>
      <c r="D23" t="s">
        <v>260</v>
      </c>
      <c r="E23" t="b">
        <v>0</v>
      </c>
      <c r="F23" t="s">
        <v>261</v>
      </c>
      <c r="G23" t="s">
        <v>261</v>
      </c>
      <c r="H23" t="s">
        <v>262</v>
      </c>
      <c r="I23" t="s">
        <v>263</v>
      </c>
      <c r="J23" t="s">
        <v>264</v>
      </c>
      <c r="K23" t="b">
        <v>1</v>
      </c>
      <c r="L23" t="s">
        <v>10</v>
      </c>
      <c r="M23" t="s">
        <v>265</v>
      </c>
      <c r="N23" t="s">
        <v>266</v>
      </c>
      <c r="O23" t="s">
        <v>267</v>
      </c>
      <c r="P23" t="s">
        <v>33</v>
      </c>
      <c r="Q23" t="s">
        <v>268</v>
      </c>
      <c r="R23" t="s">
        <v>269</v>
      </c>
      <c r="S23" t="s">
        <v>270</v>
      </c>
      <c r="T23" t="s">
        <v>271</v>
      </c>
      <c r="U23" t="s">
        <v>44</v>
      </c>
      <c r="V23" t="s">
        <v>45</v>
      </c>
      <c r="W23" t="s">
        <v>45</v>
      </c>
      <c r="X23">
        <v>1</v>
      </c>
      <c r="Y23" t="b">
        <v>0</v>
      </c>
      <c r="AC23" t="s">
        <v>46</v>
      </c>
      <c r="AD23" t="b">
        <v>1</v>
      </c>
      <c r="AE23" t="s">
        <v>47</v>
      </c>
      <c r="AG23" t="s">
        <v>117</v>
      </c>
      <c r="AH23" t="s">
        <v>656</v>
      </c>
      <c r="AI23" t="str">
        <f>VLOOKUP(O23,SQL!$E$1:$G$62,3,0)</f>
        <v>Calendar</v>
      </c>
    </row>
    <row r="24" spans="1:35" hidden="1" x14ac:dyDescent="0.25">
      <c r="A24">
        <v>66878</v>
      </c>
      <c r="B24">
        <v>63684</v>
      </c>
      <c r="C24" t="s">
        <v>33</v>
      </c>
      <c r="D24" t="s">
        <v>272</v>
      </c>
      <c r="E24" t="b">
        <v>0</v>
      </c>
      <c r="F24" t="s">
        <v>273</v>
      </c>
      <c r="G24" t="s">
        <v>273</v>
      </c>
      <c r="H24" t="s">
        <v>274</v>
      </c>
      <c r="I24" t="s">
        <v>68</v>
      </c>
      <c r="J24" t="s">
        <v>275</v>
      </c>
      <c r="K24" t="b">
        <v>1</v>
      </c>
      <c r="L24" t="s">
        <v>10</v>
      </c>
      <c r="M24" t="s">
        <v>276</v>
      </c>
      <c r="N24" t="s">
        <v>277</v>
      </c>
      <c r="O24" t="s">
        <v>278</v>
      </c>
      <c r="P24" t="s">
        <v>33</v>
      </c>
      <c r="Q24" t="s">
        <v>279</v>
      </c>
      <c r="R24" t="s">
        <v>68</v>
      </c>
      <c r="S24" t="s">
        <v>275</v>
      </c>
      <c r="T24" t="s">
        <v>280</v>
      </c>
      <c r="U24" t="s">
        <v>44</v>
      </c>
      <c r="V24" t="s">
        <v>45</v>
      </c>
      <c r="W24" t="s">
        <v>45</v>
      </c>
      <c r="X24">
        <v>1</v>
      </c>
      <c r="Y24" t="b">
        <v>0</v>
      </c>
      <c r="AC24" t="s">
        <v>46</v>
      </c>
      <c r="AD24" t="b">
        <v>1</v>
      </c>
      <c r="AE24" t="s">
        <v>47</v>
      </c>
      <c r="AG24" t="s">
        <v>106</v>
      </c>
      <c r="AH24" t="s">
        <v>656</v>
      </c>
      <c r="AI24" t="str">
        <f>VLOOKUP(O24,SQL!$E$1:$G$62,3,0)</f>
        <v>Calendar</v>
      </c>
    </row>
    <row r="25" spans="1:35" hidden="1" x14ac:dyDescent="0.25">
      <c r="A25">
        <v>66841</v>
      </c>
      <c r="B25">
        <v>63651</v>
      </c>
      <c r="C25" t="s">
        <v>33</v>
      </c>
      <c r="D25" t="s">
        <v>281</v>
      </c>
      <c r="E25" t="b">
        <v>0</v>
      </c>
      <c r="F25" t="s">
        <v>282</v>
      </c>
      <c r="G25" t="s">
        <v>282</v>
      </c>
      <c r="H25" t="s">
        <v>283</v>
      </c>
      <c r="I25" t="s">
        <v>284</v>
      </c>
      <c r="J25" t="s">
        <v>285</v>
      </c>
      <c r="K25" t="b">
        <v>1</v>
      </c>
      <c r="L25" t="s">
        <v>10</v>
      </c>
      <c r="M25" t="s">
        <v>286</v>
      </c>
      <c r="N25" t="s">
        <v>287</v>
      </c>
      <c r="O25" t="s">
        <v>288</v>
      </c>
      <c r="P25" t="s">
        <v>33</v>
      </c>
      <c r="Q25" t="s">
        <v>289</v>
      </c>
      <c r="R25" t="s">
        <v>284</v>
      </c>
      <c r="S25" t="s">
        <v>285</v>
      </c>
      <c r="T25" t="s">
        <v>290</v>
      </c>
      <c r="U25" t="s">
        <v>44</v>
      </c>
      <c r="V25" t="s">
        <v>45</v>
      </c>
      <c r="W25" t="s">
        <v>45</v>
      </c>
      <c r="X25">
        <v>1</v>
      </c>
      <c r="Y25" t="b">
        <v>0</v>
      </c>
      <c r="AC25" t="s">
        <v>46</v>
      </c>
      <c r="AD25" t="b">
        <v>1</v>
      </c>
      <c r="AE25" t="s">
        <v>47</v>
      </c>
      <c r="AG25" t="s">
        <v>83</v>
      </c>
      <c r="AH25" t="s">
        <v>656</v>
      </c>
      <c r="AI25" t="str">
        <f>VLOOKUP(O25,SQL!$E$1:$G$62,3,0)</f>
        <v>Calendar</v>
      </c>
    </row>
    <row r="26" spans="1:35" hidden="1" x14ac:dyDescent="0.25">
      <c r="A26">
        <v>66839</v>
      </c>
      <c r="B26">
        <v>63648</v>
      </c>
      <c r="C26" t="s">
        <v>33</v>
      </c>
      <c r="D26" t="s">
        <v>291</v>
      </c>
      <c r="E26" t="b">
        <v>0</v>
      </c>
      <c r="F26" t="s">
        <v>292</v>
      </c>
      <c r="G26" t="s">
        <v>292</v>
      </c>
      <c r="H26" t="s">
        <v>293</v>
      </c>
      <c r="I26" t="s">
        <v>294</v>
      </c>
      <c r="J26" t="s">
        <v>295</v>
      </c>
      <c r="K26" t="b">
        <v>1</v>
      </c>
      <c r="L26" t="s">
        <v>10</v>
      </c>
      <c r="M26" t="s">
        <v>296</v>
      </c>
      <c r="N26" t="s">
        <v>297</v>
      </c>
      <c r="O26" t="s">
        <v>298</v>
      </c>
      <c r="P26" t="s">
        <v>33</v>
      </c>
      <c r="Q26" t="s">
        <v>299</v>
      </c>
      <c r="R26" t="s">
        <v>294</v>
      </c>
      <c r="S26" t="s">
        <v>295</v>
      </c>
      <c r="T26" t="s">
        <v>300</v>
      </c>
      <c r="U26" t="s">
        <v>44</v>
      </c>
      <c r="V26" t="s">
        <v>45</v>
      </c>
      <c r="W26" t="s">
        <v>45</v>
      </c>
      <c r="X26">
        <v>1</v>
      </c>
      <c r="Y26" t="b">
        <v>0</v>
      </c>
      <c r="AC26" t="s">
        <v>46</v>
      </c>
      <c r="AD26" t="b">
        <v>1</v>
      </c>
      <c r="AE26" t="s">
        <v>47</v>
      </c>
      <c r="AG26" t="s">
        <v>83</v>
      </c>
      <c r="AH26" t="s">
        <v>656</v>
      </c>
      <c r="AI26" t="str">
        <f>VLOOKUP(O26,SQL!$E$1:$G$62,3,0)</f>
        <v>Calendar</v>
      </c>
    </row>
    <row r="27" spans="1:35" hidden="1" x14ac:dyDescent="0.25">
      <c r="A27">
        <v>66836</v>
      </c>
      <c r="B27">
        <v>63647</v>
      </c>
      <c r="C27" t="s">
        <v>33</v>
      </c>
      <c r="D27" t="s">
        <v>301</v>
      </c>
      <c r="E27" t="b">
        <v>0</v>
      </c>
      <c r="F27" t="s">
        <v>302</v>
      </c>
      <c r="G27" t="s">
        <v>302</v>
      </c>
      <c r="H27" t="s">
        <v>303</v>
      </c>
      <c r="I27" t="s">
        <v>304</v>
      </c>
      <c r="J27" t="s">
        <v>305</v>
      </c>
      <c r="K27" t="b">
        <v>1</v>
      </c>
      <c r="L27" t="s">
        <v>10</v>
      </c>
      <c r="M27" t="s">
        <v>306</v>
      </c>
      <c r="N27" t="s">
        <v>307</v>
      </c>
      <c r="O27" t="s">
        <v>308</v>
      </c>
      <c r="P27" t="s">
        <v>33</v>
      </c>
      <c r="Q27" t="s">
        <v>309</v>
      </c>
      <c r="R27" t="s">
        <v>304</v>
      </c>
      <c r="S27" t="s">
        <v>305</v>
      </c>
      <c r="T27" t="s">
        <v>310</v>
      </c>
      <c r="U27" t="s">
        <v>44</v>
      </c>
      <c r="V27" t="s">
        <v>45</v>
      </c>
      <c r="W27" t="s">
        <v>45</v>
      </c>
      <c r="X27">
        <v>1</v>
      </c>
      <c r="Y27" t="b">
        <v>0</v>
      </c>
      <c r="AC27" t="s">
        <v>46</v>
      </c>
      <c r="AD27" t="b">
        <v>1</v>
      </c>
      <c r="AE27" t="s">
        <v>47</v>
      </c>
      <c r="AG27" t="s">
        <v>106</v>
      </c>
      <c r="AH27" t="s">
        <v>656</v>
      </c>
      <c r="AI27" t="str">
        <f>VLOOKUP(O27,SQL!$E$1:$G$62,3,0)</f>
        <v>Calendar</v>
      </c>
    </row>
    <row r="28" spans="1:35" hidden="1" x14ac:dyDescent="0.25">
      <c r="A28">
        <v>66783</v>
      </c>
      <c r="B28">
        <v>63613</v>
      </c>
      <c r="C28" t="s">
        <v>33</v>
      </c>
      <c r="D28" t="s">
        <v>311</v>
      </c>
      <c r="E28" t="b">
        <v>0</v>
      </c>
      <c r="F28" t="s">
        <v>312</v>
      </c>
      <c r="G28" t="s">
        <v>312</v>
      </c>
      <c r="H28" t="s">
        <v>313</v>
      </c>
      <c r="I28" t="s">
        <v>314</v>
      </c>
      <c r="J28" t="s">
        <v>315</v>
      </c>
      <c r="K28" t="b">
        <v>1</v>
      </c>
      <c r="L28" t="s">
        <v>10</v>
      </c>
      <c r="M28" t="s">
        <v>316</v>
      </c>
      <c r="N28" t="s">
        <v>317</v>
      </c>
      <c r="O28" t="s">
        <v>318</v>
      </c>
      <c r="P28" t="s">
        <v>33</v>
      </c>
      <c r="Q28" t="s">
        <v>319</v>
      </c>
      <c r="R28" t="s">
        <v>314</v>
      </c>
      <c r="S28" t="s">
        <v>315</v>
      </c>
      <c r="T28" t="s">
        <v>320</v>
      </c>
      <c r="U28" t="s">
        <v>44</v>
      </c>
      <c r="V28" t="s">
        <v>45</v>
      </c>
      <c r="W28" t="s">
        <v>45</v>
      </c>
      <c r="X28">
        <v>1</v>
      </c>
      <c r="Y28" t="b">
        <v>0</v>
      </c>
      <c r="AC28" t="s">
        <v>46</v>
      </c>
      <c r="AD28" t="b">
        <v>1</v>
      </c>
      <c r="AE28" t="s">
        <v>47</v>
      </c>
      <c r="AG28" t="s">
        <v>33</v>
      </c>
      <c r="AH28" t="s">
        <v>656</v>
      </c>
      <c r="AI28" t="str">
        <f>VLOOKUP(O28,SQL!$E$1:$G$62,3,0)</f>
        <v>Calendar</v>
      </c>
    </row>
    <row r="29" spans="1:35" hidden="1" x14ac:dyDescent="0.25">
      <c r="A29">
        <v>66577</v>
      </c>
      <c r="B29">
        <v>63496</v>
      </c>
      <c r="C29" t="s">
        <v>33</v>
      </c>
      <c r="D29" t="s">
        <v>321</v>
      </c>
      <c r="E29" t="b">
        <v>0</v>
      </c>
      <c r="F29" t="s">
        <v>322</v>
      </c>
      <c r="G29" t="s">
        <v>322</v>
      </c>
      <c r="H29" t="s">
        <v>323</v>
      </c>
      <c r="I29" t="s">
        <v>324</v>
      </c>
      <c r="J29" t="s">
        <v>325</v>
      </c>
      <c r="K29" t="b">
        <v>1</v>
      </c>
      <c r="L29" t="s">
        <v>10</v>
      </c>
      <c r="M29" t="s">
        <v>326</v>
      </c>
      <c r="N29" t="s">
        <v>327</v>
      </c>
      <c r="O29" t="s">
        <v>328</v>
      </c>
      <c r="P29" t="s">
        <v>33</v>
      </c>
      <c r="Q29" t="s">
        <v>329</v>
      </c>
      <c r="R29" t="s">
        <v>324</v>
      </c>
      <c r="S29" t="s">
        <v>325</v>
      </c>
      <c r="T29" t="s">
        <v>330</v>
      </c>
      <c r="U29" t="s">
        <v>44</v>
      </c>
      <c r="V29" t="s">
        <v>45</v>
      </c>
      <c r="W29" t="s">
        <v>45</v>
      </c>
      <c r="X29">
        <v>1</v>
      </c>
      <c r="Y29" t="b">
        <v>0</v>
      </c>
      <c r="AC29" t="s">
        <v>46</v>
      </c>
      <c r="AD29" t="b">
        <v>1</v>
      </c>
      <c r="AE29" t="s">
        <v>47</v>
      </c>
      <c r="AG29" t="s">
        <v>117</v>
      </c>
      <c r="AH29" t="s">
        <v>656</v>
      </c>
      <c r="AI29" t="str">
        <f>VLOOKUP(O29,SQL!$E$1:$G$62,3,0)</f>
        <v>Calendar</v>
      </c>
    </row>
    <row r="30" spans="1:35" hidden="1" x14ac:dyDescent="0.25">
      <c r="A30">
        <v>66572</v>
      </c>
      <c r="B30">
        <v>58245</v>
      </c>
      <c r="C30" t="s">
        <v>33</v>
      </c>
      <c r="D30" t="s">
        <v>331</v>
      </c>
      <c r="E30" t="b">
        <v>0</v>
      </c>
      <c r="F30" t="s">
        <v>332</v>
      </c>
      <c r="G30" t="s">
        <v>332</v>
      </c>
      <c r="H30" t="s">
        <v>333</v>
      </c>
      <c r="I30" t="s">
        <v>334</v>
      </c>
      <c r="J30" t="s">
        <v>142</v>
      </c>
      <c r="K30" t="b">
        <v>1</v>
      </c>
      <c r="L30" t="s">
        <v>10</v>
      </c>
      <c r="M30" t="s">
        <v>335</v>
      </c>
      <c r="N30" t="s">
        <v>336</v>
      </c>
      <c r="O30" t="s">
        <v>337</v>
      </c>
      <c r="P30" t="s">
        <v>33</v>
      </c>
      <c r="Q30" t="s">
        <v>338</v>
      </c>
      <c r="R30" t="s">
        <v>334</v>
      </c>
      <c r="S30" t="s">
        <v>142</v>
      </c>
      <c r="T30" t="s">
        <v>339</v>
      </c>
      <c r="U30" t="s">
        <v>44</v>
      </c>
      <c r="V30" t="s">
        <v>45</v>
      </c>
      <c r="W30" t="s">
        <v>45</v>
      </c>
      <c r="X30">
        <v>1</v>
      </c>
      <c r="Y30" t="b">
        <v>0</v>
      </c>
      <c r="AC30" t="s">
        <v>46</v>
      </c>
      <c r="AD30" t="b">
        <v>1</v>
      </c>
      <c r="AE30" t="s">
        <v>47</v>
      </c>
      <c r="AG30" t="s">
        <v>83</v>
      </c>
      <c r="AH30" t="s">
        <v>656</v>
      </c>
      <c r="AI30" t="str">
        <f>VLOOKUP(O30,SQL!$E$1:$G$62,3,0)</f>
        <v>Calendar</v>
      </c>
    </row>
    <row r="31" spans="1:35" hidden="1" x14ac:dyDescent="0.25">
      <c r="A31">
        <v>66551</v>
      </c>
      <c r="B31">
        <v>63482</v>
      </c>
      <c r="C31" t="s">
        <v>33</v>
      </c>
      <c r="D31" t="s">
        <v>340</v>
      </c>
      <c r="E31" t="b">
        <v>0</v>
      </c>
      <c r="F31" t="s">
        <v>341</v>
      </c>
      <c r="G31" t="s">
        <v>341</v>
      </c>
      <c r="H31" t="s">
        <v>342</v>
      </c>
      <c r="I31" t="s">
        <v>343</v>
      </c>
      <c r="J31" t="s">
        <v>344</v>
      </c>
      <c r="K31" t="b">
        <v>1</v>
      </c>
      <c r="L31" t="s">
        <v>10</v>
      </c>
      <c r="M31" t="s">
        <v>345</v>
      </c>
      <c r="N31" t="s">
        <v>346</v>
      </c>
      <c r="O31" t="s">
        <v>347</v>
      </c>
      <c r="P31" t="s">
        <v>33</v>
      </c>
      <c r="Q31" t="s">
        <v>348</v>
      </c>
      <c r="R31" t="s">
        <v>343</v>
      </c>
      <c r="S31" t="s">
        <v>344</v>
      </c>
      <c r="T31" t="s">
        <v>349</v>
      </c>
      <c r="U31" t="s">
        <v>44</v>
      </c>
      <c r="V31" t="s">
        <v>45</v>
      </c>
      <c r="W31" t="s">
        <v>45</v>
      </c>
      <c r="X31">
        <v>1</v>
      </c>
      <c r="Y31" t="b">
        <v>0</v>
      </c>
      <c r="AC31" t="s">
        <v>46</v>
      </c>
      <c r="AD31" t="b">
        <v>1</v>
      </c>
      <c r="AE31" t="s">
        <v>47</v>
      </c>
      <c r="AG31" t="s">
        <v>58</v>
      </c>
      <c r="AH31" t="s">
        <v>656</v>
      </c>
      <c r="AI31" t="str">
        <f>VLOOKUP(O31,SQL!$E$1:$G$62,3,0)</f>
        <v>Calendar</v>
      </c>
    </row>
    <row r="32" spans="1:35" hidden="1" x14ac:dyDescent="0.25">
      <c r="A32">
        <v>66550</v>
      </c>
      <c r="B32">
        <v>63480</v>
      </c>
      <c r="C32" t="s">
        <v>33</v>
      </c>
      <c r="D32" t="s">
        <v>350</v>
      </c>
      <c r="E32" t="b">
        <v>0</v>
      </c>
      <c r="F32" t="s">
        <v>351</v>
      </c>
      <c r="G32" t="s">
        <v>351</v>
      </c>
      <c r="H32" t="s">
        <v>352</v>
      </c>
      <c r="I32" t="s">
        <v>353</v>
      </c>
      <c r="J32" t="s">
        <v>354</v>
      </c>
      <c r="K32" t="b">
        <v>1</v>
      </c>
      <c r="L32" t="s">
        <v>10</v>
      </c>
      <c r="M32" t="s">
        <v>355</v>
      </c>
      <c r="N32" t="s">
        <v>356</v>
      </c>
      <c r="O32" t="s">
        <v>357</v>
      </c>
      <c r="P32" t="s">
        <v>33</v>
      </c>
      <c r="Q32" t="s">
        <v>358</v>
      </c>
      <c r="R32" t="s">
        <v>353</v>
      </c>
      <c r="S32" t="s">
        <v>354</v>
      </c>
      <c r="T32" t="s">
        <v>359</v>
      </c>
      <c r="U32" t="s">
        <v>44</v>
      </c>
      <c r="V32" t="s">
        <v>45</v>
      </c>
      <c r="W32" t="s">
        <v>45</v>
      </c>
      <c r="X32">
        <v>1</v>
      </c>
      <c r="Y32" t="b">
        <v>0</v>
      </c>
      <c r="AC32" t="s">
        <v>46</v>
      </c>
      <c r="AD32" t="b">
        <v>1</v>
      </c>
      <c r="AE32" t="s">
        <v>47</v>
      </c>
      <c r="AG32" t="s">
        <v>106</v>
      </c>
      <c r="AH32" t="s">
        <v>656</v>
      </c>
      <c r="AI32" t="str">
        <f>VLOOKUP(O32,SQL!$E$1:$G$62,3,0)</f>
        <v>Calendar</v>
      </c>
    </row>
    <row r="33" spans="1:35" hidden="1" x14ac:dyDescent="0.25">
      <c r="A33">
        <v>66549</v>
      </c>
      <c r="B33">
        <v>63478</v>
      </c>
      <c r="C33" t="s">
        <v>33</v>
      </c>
      <c r="D33" t="s">
        <v>360</v>
      </c>
      <c r="E33" t="b">
        <v>0</v>
      </c>
      <c r="F33" t="s">
        <v>361</v>
      </c>
      <c r="G33" t="s">
        <v>361</v>
      </c>
      <c r="H33" t="s">
        <v>362</v>
      </c>
      <c r="I33" t="s">
        <v>363</v>
      </c>
      <c r="J33" t="s">
        <v>354</v>
      </c>
      <c r="K33" t="b">
        <v>1</v>
      </c>
      <c r="L33" t="s">
        <v>10</v>
      </c>
      <c r="M33" t="s">
        <v>364</v>
      </c>
      <c r="N33" t="s">
        <v>365</v>
      </c>
      <c r="O33" t="s">
        <v>366</v>
      </c>
      <c r="P33" t="s">
        <v>33</v>
      </c>
      <c r="Q33" t="s">
        <v>358</v>
      </c>
      <c r="R33" t="s">
        <v>363</v>
      </c>
      <c r="S33" t="s">
        <v>354</v>
      </c>
      <c r="T33" t="s">
        <v>367</v>
      </c>
      <c r="U33" t="s">
        <v>44</v>
      </c>
      <c r="V33" t="s">
        <v>45</v>
      </c>
      <c r="W33" t="s">
        <v>45</v>
      </c>
      <c r="X33">
        <v>1</v>
      </c>
      <c r="Y33" t="b">
        <v>0</v>
      </c>
      <c r="AC33" t="s">
        <v>46</v>
      </c>
      <c r="AD33" t="b">
        <v>1</v>
      </c>
      <c r="AE33" t="s">
        <v>47</v>
      </c>
      <c r="AG33" t="s">
        <v>83</v>
      </c>
      <c r="AH33" t="s">
        <v>656</v>
      </c>
      <c r="AI33" t="str">
        <f>VLOOKUP(O33,SQL!$E$1:$G$62,3,0)</f>
        <v>Calendar</v>
      </c>
    </row>
    <row r="34" spans="1:35" hidden="1" x14ac:dyDescent="0.25">
      <c r="A34">
        <v>66545</v>
      </c>
      <c r="B34">
        <v>63476</v>
      </c>
      <c r="C34" t="s">
        <v>33</v>
      </c>
      <c r="D34" t="s">
        <v>368</v>
      </c>
      <c r="E34" t="b">
        <v>0</v>
      </c>
      <c r="F34" t="s">
        <v>369</v>
      </c>
      <c r="G34" t="s">
        <v>369</v>
      </c>
      <c r="H34" t="s">
        <v>370</v>
      </c>
      <c r="I34" t="s">
        <v>371</v>
      </c>
      <c r="J34" t="s">
        <v>372</v>
      </c>
      <c r="K34" t="b">
        <v>1</v>
      </c>
      <c r="L34" t="s">
        <v>10</v>
      </c>
      <c r="M34" t="s">
        <v>373</v>
      </c>
      <c r="N34" t="s">
        <v>374</v>
      </c>
      <c r="O34" t="s">
        <v>375</v>
      </c>
      <c r="P34" t="s">
        <v>33</v>
      </c>
      <c r="Q34" t="s">
        <v>376</v>
      </c>
      <c r="R34" t="s">
        <v>371</v>
      </c>
      <c r="S34" t="s">
        <v>372</v>
      </c>
      <c r="T34" t="s">
        <v>377</v>
      </c>
      <c r="U34" t="s">
        <v>44</v>
      </c>
      <c r="V34" t="s">
        <v>45</v>
      </c>
      <c r="W34" t="s">
        <v>45</v>
      </c>
      <c r="X34">
        <v>1</v>
      </c>
      <c r="Y34" t="b">
        <v>0</v>
      </c>
      <c r="AC34" t="s">
        <v>46</v>
      </c>
      <c r="AD34" t="b">
        <v>1</v>
      </c>
      <c r="AE34" t="s">
        <v>47</v>
      </c>
      <c r="AG34" t="s">
        <v>106</v>
      </c>
      <c r="AH34" t="s">
        <v>656</v>
      </c>
      <c r="AI34" t="str">
        <f>VLOOKUP(O34,SQL!$E$1:$G$62,3,0)</f>
        <v>Calendar</v>
      </c>
    </row>
    <row r="35" spans="1:35" hidden="1" x14ac:dyDescent="0.25">
      <c r="A35">
        <v>66529</v>
      </c>
      <c r="B35">
        <v>63464</v>
      </c>
      <c r="C35" t="s">
        <v>33</v>
      </c>
      <c r="D35" t="s">
        <v>378</v>
      </c>
      <c r="E35" t="b">
        <v>0</v>
      </c>
      <c r="F35" t="s">
        <v>379</v>
      </c>
      <c r="G35" t="s">
        <v>379</v>
      </c>
      <c r="H35" t="s">
        <v>380</v>
      </c>
      <c r="I35" t="s">
        <v>381</v>
      </c>
      <c r="J35" t="s">
        <v>382</v>
      </c>
      <c r="K35" t="b">
        <v>1</v>
      </c>
      <c r="L35" t="s">
        <v>10</v>
      </c>
      <c r="M35" t="s">
        <v>383</v>
      </c>
      <c r="N35" t="s">
        <v>384</v>
      </c>
      <c r="O35" t="s">
        <v>385</v>
      </c>
      <c r="P35" t="s">
        <v>33</v>
      </c>
      <c r="Q35" t="s">
        <v>386</v>
      </c>
      <c r="R35" t="s">
        <v>381</v>
      </c>
      <c r="S35" t="s">
        <v>382</v>
      </c>
      <c r="T35" t="s">
        <v>387</v>
      </c>
      <c r="U35" t="s">
        <v>44</v>
      </c>
      <c r="V35" t="s">
        <v>45</v>
      </c>
      <c r="W35" t="s">
        <v>45</v>
      </c>
      <c r="X35">
        <v>1</v>
      </c>
      <c r="Y35" t="b">
        <v>0</v>
      </c>
      <c r="AC35" t="s">
        <v>46</v>
      </c>
      <c r="AD35" t="b">
        <v>1</v>
      </c>
      <c r="AE35" t="s">
        <v>47</v>
      </c>
      <c r="AG35" t="s">
        <v>117</v>
      </c>
      <c r="AH35" t="s">
        <v>656</v>
      </c>
      <c r="AI35" t="e">
        <f>VLOOKUP(O35,SQL!$E$1:$G$62,3,0)</f>
        <v>#N/A</v>
      </c>
    </row>
    <row r="36" spans="1:35" hidden="1" x14ac:dyDescent="0.25">
      <c r="A36">
        <v>66514</v>
      </c>
      <c r="B36">
        <v>63451</v>
      </c>
      <c r="C36" t="s">
        <v>33</v>
      </c>
      <c r="D36" t="s">
        <v>388</v>
      </c>
      <c r="E36" t="b">
        <v>0</v>
      </c>
      <c r="F36" t="s">
        <v>389</v>
      </c>
      <c r="G36" t="s">
        <v>389</v>
      </c>
      <c r="H36" t="s">
        <v>390</v>
      </c>
      <c r="I36" t="s">
        <v>391</v>
      </c>
      <c r="J36" t="s">
        <v>392</v>
      </c>
      <c r="K36" t="b">
        <v>1</v>
      </c>
      <c r="L36" t="s">
        <v>10</v>
      </c>
      <c r="M36" t="s">
        <v>393</v>
      </c>
      <c r="N36" t="s">
        <v>394</v>
      </c>
      <c r="O36" t="s">
        <v>395</v>
      </c>
      <c r="P36" t="s">
        <v>33</v>
      </c>
      <c r="Q36" t="s">
        <v>396</v>
      </c>
      <c r="R36" t="s">
        <v>391</v>
      </c>
      <c r="S36" t="s">
        <v>392</v>
      </c>
      <c r="T36" t="s">
        <v>397</v>
      </c>
      <c r="U36" t="s">
        <v>44</v>
      </c>
      <c r="V36" t="s">
        <v>45</v>
      </c>
      <c r="W36" t="s">
        <v>45</v>
      </c>
      <c r="X36">
        <v>1</v>
      </c>
      <c r="Y36" t="b">
        <v>0</v>
      </c>
      <c r="AC36" t="s">
        <v>46</v>
      </c>
      <c r="AD36" t="b">
        <v>1</v>
      </c>
      <c r="AE36" t="s">
        <v>47</v>
      </c>
      <c r="AG36" t="s">
        <v>58</v>
      </c>
      <c r="AH36" t="s">
        <v>656</v>
      </c>
      <c r="AI36" t="str">
        <f>VLOOKUP(O36,SQL!$E$1:$G$62,3,0)</f>
        <v>Calendar</v>
      </c>
    </row>
    <row r="37" spans="1:35" hidden="1" x14ac:dyDescent="0.25">
      <c r="A37">
        <v>66513</v>
      </c>
      <c r="B37">
        <v>63450</v>
      </c>
      <c r="C37" t="s">
        <v>33</v>
      </c>
      <c r="D37" t="s">
        <v>398</v>
      </c>
      <c r="E37" t="b">
        <v>0</v>
      </c>
      <c r="F37" t="s">
        <v>399</v>
      </c>
      <c r="G37" t="s">
        <v>399</v>
      </c>
      <c r="H37" t="s">
        <v>400</v>
      </c>
      <c r="I37" t="s">
        <v>401</v>
      </c>
      <c r="J37" t="s">
        <v>33</v>
      </c>
      <c r="K37" t="b">
        <v>1</v>
      </c>
      <c r="L37" t="s">
        <v>10</v>
      </c>
      <c r="M37" t="s">
        <v>402</v>
      </c>
      <c r="N37" t="s">
        <v>403</v>
      </c>
      <c r="O37" t="s">
        <v>404</v>
      </c>
      <c r="P37" t="s">
        <v>33</v>
      </c>
      <c r="Q37" t="s">
        <v>405</v>
      </c>
      <c r="R37" t="s">
        <v>406</v>
      </c>
      <c r="S37" t="s">
        <v>407</v>
      </c>
      <c r="T37" t="s">
        <v>408</v>
      </c>
      <c r="U37" t="s">
        <v>44</v>
      </c>
      <c r="V37" t="s">
        <v>45</v>
      </c>
      <c r="W37" t="s">
        <v>45</v>
      </c>
      <c r="X37">
        <v>1</v>
      </c>
      <c r="Y37" t="b">
        <v>0</v>
      </c>
      <c r="AC37" t="s">
        <v>46</v>
      </c>
      <c r="AD37" t="b">
        <v>1</v>
      </c>
      <c r="AE37" t="s">
        <v>47</v>
      </c>
      <c r="AG37" t="s">
        <v>33</v>
      </c>
      <c r="AH37" t="s">
        <v>656</v>
      </c>
      <c r="AI37" t="str">
        <f>VLOOKUP(O37,SQL!$E$1:$G$62,3,0)</f>
        <v>Calendar</v>
      </c>
    </row>
    <row r="38" spans="1:35" hidden="1" x14ac:dyDescent="0.25">
      <c r="A38">
        <v>66454</v>
      </c>
      <c r="B38">
        <v>63424</v>
      </c>
      <c r="C38" t="s">
        <v>33</v>
      </c>
      <c r="D38" t="s">
        <v>409</v>
      </c>
      <c r="E38" t="b">
        <v>0</v>
      </c>
      <c r="F38" t="s">
        <v>410</v>
      </c>
      <c r="G38" t="s">
        <v>410</v>
      </c>
      <c r="H38" t="s">
        <v>411</v>
      </c>
      <c r="I38" t="s">
        <v>412</v>
      </c>
      <c r="J38" t="s">
        <v>413</v>
      </c>
      <c r="K38" t="b">
        <v>1</v>
      </c>
      <c r="L38" t="s">
        <v>10</v>
      </c>
      <c r="M38" t="s">
        <v>414</v>
      </c>
      <c r="N38" t="s">
        <v>415</v>
      </c>
      <c r="O38" t="s">
        <v>416</v>
      </c>
      <c r="P38" t="s">
        <v>33</v>
      </c>
      <c r="Q38" t="s">
        <v>417</v>
      </c>
      <c r="R38" t="s">
        <v>412</v>
      </c>
      <c r="S38" t="s">
        <v>418</v>
      </c>
      <c r="T38" t="s">
        <v>419</v>
      </c>
      <c r="U38" t="s">
        <v>44</v>
      </c>
      <c r="V38" t="s">
        <v>45</v>
      </c>
      <c r="W38" t="s">
        <v>45</v>
      </c>
      <c r="X38">
        <v>1</v>
      </c>
      <c r="Y38" t="b">
        <v>0</v>
      </c>
      <c r="AC38" t="s">
        <v>46</v>
      </c>
      <c r="AD38" t="b">
        <v>1</v>
      </c>
      <c r="AE38" t="s">
        <v>47</v>
      </c>
      <c r="AG38" t="s">
        <v>83</v>
      </c>
      <c r="AH38" t="s">
        <v>656</v>
      </c>
      <c r="AI38" t="str">
        <f>VLOOKUP(O38,SQL!$E$1:$G$62,3,0)</f>
        <v>Calendar</v>
      </c>
    </row>
    <row r="39" spans="1:35" hidden="1" x14ac:dyDescent="0.25">
      <c r="A39">
        <v>66453</v>
      </c>
      <c r="B39">
        <v>63421</v>
      </c>
      <c r="C39" t="s">
        <v>33</v>
      </c>
      <c r="D39" t="s">
        <v>420</v>
      </c>
      <c r="E39" t="b">
        <v>0</v>
      </c>
      <c r="F39" t="s">
        <v>421</v>
      </c>
      <c r="G39" t="s">
        <v>421</v>
      </c>
      <c r="H39" t="s">
        <v>422</v>
      </c>
      <c r="I39" t="s">
        <v>423</v>
      </c>
      <c r="J39" t="s">
        <v>424</v>
      </c>
      <c r="K39" t="b">
        <v>1</v>
      </c>
      <c r="L39" t="s">
        <v>10</v>
      </c>
      <c r="M39" t="s">
        <v>425</v>
      </c>
      <c r="N39" t="s">
        <v>426</v>
      </c>
      <c r="O39" t="s">
        <v>427</v>
      </c>
      <c r="P39" t="s">
        <v>33</v>
      </c>
      <c r="Q39" t="s">
        <v>428</v>
      </c>
      <c r="R39" t="s">
        <v>423</v>
      </c>
      <c r="S39" t="s">
        <v>424</v>
      </c>
      <c r="T39" t="s">
        <v>429</v>
      </c>
      <c r="U39" t="s">
        <v>44</v>
      </c>
      <c r="V39" t="s">
        <v>45</v>
      </c>
      <c r="W39" t="s">
        <v>45</v>
      </c>
      <c r="X39">
        <v>1</v>
      </c>
      <c r="Y39" t="b">
        <v>0</v>
      </c>
      <c r="AC39" t="s">
        <v>46</v>
      </c>
      <c r="AD39" t="b">
        <v>1</v>
      </c>
      <c r="AE39" t="s">
        <v>47</v>
      </c>
      <c r="AG39" t="s">
        <v>117</v>
      </c>
      <c r="AH39" t="s">
        <v>656</v>
      </c>
      <c r="AI39" t="str">
        <f>VLOOKUP(O39,SQL!$E$1:$G$62,3,0)</f>
        <v>Calendar</v>
      </c>
    </row>
    <row r="40" spans="1:35" hidden="1" x14ac:dyDescent="0.25">
      <c r="A40">
        <v>66417</v>
      </c>
      <c r="B40">
        <v>63393</v>
      </c>
      <c r="C40" t="s">
        <v>33</v>
      </c>
      <c r="D40" t="s">
        <v>430</v>
      </c>
      <c r="E40" t="b">
        <v>0</v>
      </c>
      <c r="F40" t="s">
        <v>431</v>
      </c>
      <c r="G40" t="s">
        <v>431</v>
      </c>
      <c r="H40" t="s">
        <v>432</v>
      </c>
      <c r="I40" t="s">
        <v>433</v>
      </c>
      <c r="J40" t="s">
        <v>434</v>
      </c>
      <c r="K40" t="b">
        <v>1</v>
      </c>
      <c r="L40" t="s">
        <v>10</v>
      </c>
      <c r="M40" t="s">
        <v>435</v>
      </c>
      <c r="N40" t="s">
        <v>436</v>
      </c>
      <c r="O40" t="s">
        <v>437</v>
      </c>
      <c r="P40" t="s">
        <v>33</v>
      </c>
      <c r="Q40" t="s">
        <v>438</v>
      </c>
      <c r="R40" t="s">
        <v>433</v>
      </c>
      <c r="S40" t="s">
        <v>434</v>
      </c>
      <c r="T40" t="s">
        <v>439</v>
      </c>
      <c r="U40" t="s">
        <v>44</v>
      </c>
      <c r="V40" t="s">
        <v>45</v>
      </c>
      <c r="W40" t="s">
        <v>45</v>
      </c>
      <c r="X40">
        <v>1</v>
      </c>
      <c r="Y40" t="b">
        <v>0</v>
      </c>
      <c r="AC40" t="s">
        <v>46</v>
      </c>
      <c r="AD40" t="b">
        <v>0</v>
      </c>
      <c r="AE40" t="s">
        <v>47</v>
      </c>
      <c r="AG40" t="s">
        <v>33</v>
      </c>
      <c r="AH40" t="s">
        <v>656</v>
      </c>
      <c r="AI40" t="str">
        <f>VLOOKUP(O40,SQL!$E$1:$G$62,3,0)</f>
        <v>Calendar</v>
      </c>
    </row>
    <row r="41" spans="1:35" hidden="1" x14ac:dyDescent="0.25">
      <c r="A41">
        <v>66222</v>
      </c>
      <c r="B41">
        <v>63203</v>
      </c>
      <c r="C41" t="s">
        <v>33</v>
      </c>
      <c r="D41" t="s">
        <v>440</v>
      </c>
      <c r="E41" t="b">
        <v>0</v>
      </c>
      <c r="F41" t="s">
        <v>441</v>
      </c>
      <c r="G41" t="s">
        <v>441</v>
      </c>
      <c r="H41" t="s">
        <v>442</v>
      </c>
      <c r="I41" t="s">
        <v>33</v>
      </c>
      <c r="J41" t="s">
        <v>33</v>
      </c>
      <c r="K41" t="b">
        <v>1</v>
      </c>
      <c r="L41" t="s">
        <v>10</v>
      </c>
      <c r="M41" t="s">
        <v>443</v>
      </c>
      <c r="N41" t="s">
        <v>444</v>
      </c>
      <c r="O41" t="s">
        <v>445</v>
      </c>
      <c r="P41" t="s">
        <v>33</v>
      </c>
      <c r="Q41" t="s">
        <v>446</v>
      </c>
      <c r="R41" t="s">
        <v>447</v>
      </c>
      <c r="S41" t="s">
        <v>448</v>
      </c>
      <c r="T41" t="s">
        <v>449</v>
      </c>
      <c r="U41" t="s">
        <v>44</v>
      </c>
      <c r="V41" t="s">
        <v>45</v>
      </c>
      <c r="W41" t="s">
        <v>45</v>
      </c>
      <c r="X41">
        <v>1</v>
      </c>
      <c r="Y41" t="b">
        <v>0</v>
      </c>
      <c r="AC41" t="s">
        <v>46</v>
      </c>
      <c r="AD41" t="b">
        <v>0</v>
      </c>
      <c r="AE41" t="s">
        <v>47</v>
      </c>
      <c r="AG41" t="s">
        <v>33</v>
      </c>
      <c r="AH41" t="s">
        <v>656</v>
      </c>
      <c r="AI41" t="e">
        <f>VLOOKUP(O41,SQL!$E$1:$G$62,3,0)</f>
        <v>#N/A</v>
      </c>
    </row>
    <row r="42" spans="1:35" hidden="1" x14ac:dyDescent="0.25">
      <c r="A42">
        <v>66159</v>
      </c>
      <c r="B42">
        <v>63138</v>
      </c>
      <c r="C42" t="s">
        <v>33</v>
      </c>
      <c r="D42" t="s">
        <v>450</v>
      </c>
      <c r="E42" t="b">
        <v>0</v>
      </c>
      <c r="F42" t="s">
        <v>451</v>
      </c>
      <c r="G42" t="s">
        <v>451</v>
      </c>
      <c r="H42" t="s">
        <v>452</v>
      </c>
      <c r="I42" t="s">
        <v>453</v>
      </c>
      <c r="J42" t="s">
        <v>454</v>
      </c>
      <c r="K42" t="b">
        <v>1</v>
      </c>
      <c r="L42" t="s">
        <v>10</v>
      </c>
      <c r="M42" t="s">
        <v>33</v>
      </c>
      <c r="N42" t="s">
        <v>33</v>
      </c>
      <c r="O42" t="s">
        <v>455</v>
      </c>
      <c r="P42" t="s">
        <v>33</v>
      </c>
      <c r="Q42" t="s">
        <v>456</v>
      </c>
      <c r="R42" t="s">
        <v>453</v>
      </c>
      <c r="S42" t="s">
        <v>454</v>
      </c>
      <c r="T42" t="s">
        <v>457</v>
      </c>
      <c r="U42" t="s">
        <v>44</v>
      </c>
      <c r="V42" t="s">
        <v>45</v>
      </c>
      <c r="W42" t="s">
        <v>45</v>
      </c>
      <c r="X42">
        <v>1</v>
      </c>
      <c r="Y42" t="b">
        <v>0</v>
      </c>
      <c r="AC42" t="s">
        <v>46</v>
      </c>
      <c r="AD42" t="b">
        <v>1</v>
      </c>
      <c r="AE42" t="s">
        <v>47</v>
      </c>
      <c r="AG42" t="s">
        <v>106</v>
      </c>
      <c r="AH42" t="s">
        <v>656</v>
      </c>
      <c r="AI42" t="str">
        <f>VLOOKUP(O42,SQL!$E$1:$G$62,3,0)</f>
        <v>Calendar</v>
      </c>
    </row>
    <row r="43" spans="1:35" hidden="1" x14ac:dyDescent="0.25">
      <c r="A43">
        <v>66151</v>
      </c>
      <c r="B43">
        <v>51455</v>
      </c>
      <c r="C43" t="s">
        <v>33</v>
      </c>
      <c r="D43" t="s">
        <v>458</v>
      </c>
      <c r="E43" t="b">
        <v>0</v>
      </c>
      <c r="F43" t="s">
        <v>459</v>
      </c>
      <c r="G43" t="s">
        <v>459</v>
      </c>
      <c r="H43" t="s">
        <v>460</v>
      </c>
      <c r="I43" t="s">
        <v>461</v>
      </c>
      <c r="J43" t="s">
        <v>462</v>
      </c>
      <c r="K43" t="b">
        <v>1</v>
      </c>
      <c r="L43" t="s">
        <v>10</v>
      </c>
      <c r="M43" t="s">
        <v>463</v>
      </c>
      <c r="N43" t="s">
        <v>464</v>
      </c>
      <c r="O43" t="s">
        <v>465</v>
      </c>
      <c r="P43" t="s">
        <v>33</v>
      </c>
      <c r="Q43" t="s">
        <v>466</v>
      </c>
      <c r="R43" t="s">
        <v>467</v>
      </c>
      <c r="S43" t="s">
        <v>462</v>
      </c>
      <c r="T43" t="s">
        <v>463</v>
      </c>
      <c r="U43" t="s">
        <v>44</v>
      </c>
      <c r="V43" t="s">
        <v>45</v>
      </c>
      <c r="W43" t="s">
        <v>45</v>
      </c>
      <c r="X43">
        <v>1</v>
      </c>
      <c r="Y43" t="b">
        <v>0</v>
      </c>
      <c r="AC43" t="s">
        <v>46</v>
      </c>
      <c r="AD43" t="b">
        <v>1</v>
      </c>
      <c r="AE43" t="s">
        <v>47</v>
      </c>
      <c r="AG43" t="s">
        <v>106</v>
      </c>
      <c r="AH43" t="s">
        <v>656</v>
      </c>
      <c r="AI43" t="e">
        <f>VLOOKUP(O43,SQL!$E$1:$G$62,3,0)</f>
        <v>#N/A</v>
      </c>
    </row>
    <row r="44" spans="1:35" hidden="1" x14ac:dyDescent="0.25">
      <c r="A44">
        <v>66146</v>
      </c>
      <c r="B44">
        <v>63126</v>
      </c>
      <c r="C44" t="s">
        <v>33</v>
      </c>
      <c r="D44" t="s">
        <v>468</v>
      </c>
      <c r="E44" t="b">
        <v>0</v>
      </c>
      <c r="F44" t="s">
        <v>469</v>
      </c>
      <c r="G44" t="s">
        <v>469</v>
      </c>
      <c r="H44" t="s">
        <v>470</v>
      </c>
      <c r="I44" t="s">
        <v>471</v>
      </c>
      <c r="J44" t="s">
        <v>472</v>
      </c>
      <c r="K44" t="b">
        <v>1</v>
      </c>
      <c r="L44" t="s">
        <v>10</v>
      </c>
      <c r="M44" t="s">
        <v>473</v>
      </c>
      <c r="N44" t="s">
        <v>474</v>
      </c>
      <c r="O44" t="s">
        <v>475</v>
      </c>
      <c r="P44" t="s">
        <v>33</v>
      </c>
      <c r="Q44" t="s">
        <v>476</v>
      </c>
      <c r="R44" t="s">
        <v>471</v>
      </c>
      <c r="S44" t="s">
        <v>472</v>
      </c>
      <c r="T44" t="s">
        <v>477</v>
      </c>
      <c r="U44" t="s">
        <v>44</v>
      </c>
      <c r="V44" t="s">
        <v>45</v>
      </c>
      <c r="W44" t="s">
        <v>45</v>
      </c>
      <c r="X44">
        <v>1</v>
      </c>
      <c r="Y44" t="b">
        <v>0</v>
      </c>
      <c r="AC44" t="s">
        <v>46</v>
      </c>
      <c r="AD44" t="b">
        <v>1</v>
      </c>
      <c r="AE44" t="s">
        <v>47</v>
      </c>
      <c r="AG44" t="s">
        <v>33</v>
      </c>
      <c r="AH44" t="s">
        <v>656</v>
      </c>
      <c r="AI44" t="str">
        <f>VLOOKUP(O44,SQL!$E$1:$G$62,3,0)</f>
        <v>Calendar</v>
      </c>
    </row>
    <row r="45" spans="1:35" hidden="1" x14ac:dyDescent="0.25">
      <c r="A45">
        <v>66137</v>
      </c>
      <c r="B45">
        <v>52711</v>
      </c>
      <c r="C45" t="s">
        <v>33</v>
      </c>
      <c r="D45" t="s">
        <v>478</v>
      </c>
      <c r="E45" t="b">
        <v>0</v>
      </c>
      <c r="F45" t="s">
        <v>479</v>
      </c>
      <c r="G45" t="s">
        <v>479</v>
      </c>
      <c r="H45" t="s">
        <v>480</v>
      </c>
      <c r="I45" t="s">
        <v>481</v>
      </c>
      <c r="J45" t="s">
        <v>482</v>
      </c>
      <c r="K45" t="b">
        <v>1</v>
      </c>
      <c r="L45" t="s">
        <v>10</v>
      </c>
      <c r="M45" t="s">
        <v>483</v>
      </c>
      <c r="N45" t="s">
        <v>484</v>
      </c>
      <c r="O45" t="s">
        <v>485</v>
      </c>
      <c r="P45" t="s">
        <v>33</v>
      </c>
      <c r="Q45" t="s">
        <v>486</v>
      </c>
      <c r="R45" t="s">
        <v>487</v>
      </c>
      <c r="S45" t="s">
        <v>488</v>
      </c>
      <c r="T45" t="s">
        <v>483</v>
      </c>
      <c r="U45" t="s">
        <v>44</v>
      </c>
      <c r="V45" t="s">
        <v>45</v>
      </c>
      <c r="W45" t="s">
        <v>45</v>
      </c>
      <c r="X45">
        <v>1</v>
      </c>
      <c r="Y45" t="b">
        <v>0</v>
      </c>
      <c r="AC45" t="s">
        <v>46</v>
      </c>
      <c r="AD45" t="b">
        <v>1</v>
      </c>
      <c r="AE45" t="s">
        <v>47</v>
      </c>
      <c r="AG45" t="s">
        <v>106</v>
      </c>
      <c r="AH45" t="s">
        <v>656</v>
      </c>
      <c r="AI45" t="str">
        <f>VLOOKUP(O45,SQL!$E$1:$G$62,3,0)</f>
        <v>Calendar</v>
      </c>
    </row>
    <row r="46" spans="1:35" hidden="1" x14ac:dyDescent="0.25">
      <c r="A46">
        <v>66117</v>
      </c>
      <c r="B46">
        <v>63087</v>
      </c>
      <c r="C46" t="s">
        <v>33</v>
      </c>
      <c r="D46" t="s">
        <v>489</v>
      </c>
      <c r="E46" t="b">
        <v>0</v>
      </c>
      <c r="F46" t="s">
        <v>490</v>
      </c>
      <c r="G46" t="s">
        <v>490</v>
      </c>
      <c r="H46" t="s">
        <v>491</v>
      </c>
      <c r="I46" t="s">
        <v>492</v>
      </c>
      <c r="J46" t="s">
        <v>493</v>
      </c>
      <c r="K46" t="b">
        <v>1</v>
      </c>
      <c r="L46" t="s">
        <v>10</v>
      </c>
      <c r="M46" t="s">
        <v>494</v>
      </c>
      <c r="N46" t="s">
        <v>495</v>
      </c>
      <c r="O46" t="s">
        <v>496</v>
      </c>
      <c r="P46" t="s">
        <v>33</v>
      </c>
      <c r="Q46" t="s">
        <v>497</v>
      </c>
      <c r="R46" t="s">
        <v>492</v>
      </c>
      <c r="S46" t="s">
        <v>493</v>
      </c>
      <c r="T46" t="s">
        <v>498</v>
      </c>
      <c r="U46" t="s">
        <v>44</v>
      </c>
      <c r="V46" t="s">
        <v>45</v>
      </c>
      <c r="W46" t="s">
        <v>45</v>
      </c>
      <c r="X46">
        <v>1</v>
      </c>
      <c r="Y46" t="b">
        <v>0</v>
      </c>
      <c r="AC46" t="s">
        <v>46</v>
      </c>
      <c r="AD46" t="b">
        <v>1</v>
      </c>
      <c r="AE46" t="s">
        <v>47</v>
      </c>
      <c r="AG46" t="s">
        <v>83</v>
      </c>
      <c r="AH46" t="s">
        <v>656</v>
      </c>
      <c r="AI46" t="str">
        <f>VLOOKUP(O46,SQL!$E$1:$G$62,3,0)</f>
        <v>Calendar</v>
      </c>
    </row>
    <row r="47" spans="1:35" hidden="1" x14ac:dyDescent="0.25">
      <c r="A47">
        <v>66113</v>
      </c>
      <c r="B47">
        <v>63097</v>
      </c>
      <c r="C47" t="s">
        <v>33</v>
      </c>
      <c r="D47" t="s">
        <v>499</v>
      </c>
      <c r="E47" t="b">
        <v>0</v>
      </c>
      <c r="F47" t="s">
        <v>500</v>
      </c>
      <c r="G47" t="s">
        <v>500</v>
      </c>
      <c r="H47" t="s">
        <v>501</v>
      </c>
      <c r="I47" t="s">
        <v>502</v>
      </c>
      <c r="J47" t="s">
        <v>503</v>
      </c>
      <c r="K47" t="b">
        <v>1</v>
      </c>
      <c r="L47" t="s">
        <v>10</v>
      </c>
      <c r="M47" t="s">
        <v>504</v>
      </c>
      <c r="N47" t="s">
        <v>505</v>
      </c>
      <c r="O47" t="s">
        <v>506</v>
      </c>
      <c r="P47" t="s">
        <v>33</v>
      </c>
      <c r="Q47" t="s">
        <v>507</v>
      </c>
      <c r="R47" t="s">
        <v>502</v>
      </c>
      <c r="S47" t="s">
        <v>503</v>
      </c>
      <c r="T47" t="s">
        <v>508</v>
      </c>
      <c r="U47" t="s">
        <v>44</v>
      </c>
      <c r="V47" t="s">
        <v>45</v>
      </c>
      <c r="W47" t="s">
        <v>45</v>
      </c>
      <c r="X47">
        <v>1</v>
      </c>
      <c r="Y47" t="b">
        <v>0</v>
      </c>
      <c r="AC47" t="s">
        <v>46</v>
      </c>
      <c r="AD47" t="b">
        <v>1</v>
      </c>
      <c r="AE47" t="s">
        <v>47</v>
      </c>
      <c r="AG47" t="s">
        <v>33</v>
      </c>
      <c r="AH47" t="s">
        <v>656</v>
      </c>
      <c r="AI47" t="str">
        <f>VLOOKUP(O47,SQL!$E$1:$G$62,3,0)</f>
        <v>Calendar</v>
      </c>
    </row>
    <row r="48" spans="1:35" hidden="1" x14ac:dyDescent="0.25">
      <c r="A48">
        <v>66094</v>
      </c>
      <c r="B48">
        <v>63077</v>
      </c>
      <c r="C48" t="s">
        <v>33</v>
      </c>
      <c r="D48" t="s">
        <v>509</v>
      </c>
      <c r="E48" t="b">
        <v>0</v>
      </c>
      <c r="F48" t="s">
        <v>510</v>
      </c>
      <c r="G48" t="s">
        <v>510</v>
      </c>
      <c r="H48" t="s">
        <v>511</v>
      </c>
      <c r="I48" t="s">
        <v>512</v>
      </c>
      <c r="J48" t="s">
        <v>513</v>
      </c>
      <c r="K48" t="b">
        <v>1</v>
      </c>
      <c r="L48" t="s">
        <v>10</v>
      </c>
      <c r="M48" t="s">
        <v>514</v>
      </c>
      <c r="N48" t="s">
        <v>515</v>
      </c>
      <c r="O48" t="s">
        <v>516</v>
      </c>
      <c r="P48" t="s">
        <v>33</v>
      </c>
      <c r="Q48" t="s">
        <v>517</v>
      </c>
      <c r="R48" t="s">
        <v>518</v>
      </c>
      <c r="S48" t="s">
        <v>513</v>
      </c>
      <c r="T48" t="s">
        <v>519</v>
      </c>
      <c r="U48" t="s">
        <v>44</v>
      </c>
      <c r="V48" t="s">
        <v>45</v>
      </c>
      <c r="W48" t="s">
        <v>45</v>
      </c>
      <c r="X48">
        <v>1</v>
      </c>
      <c r="Y48" t="b">
        <v>0</v>
      </c>
      <c r="AC48" t="s">
        <v>46</v>
      </c>
      <c r="AD48" t="b">
        <v>1</v>
      </c>
      <c r="AE48" t="s">
        <v>47</v>
      </c>
      <c r="AG48" t="s">
        <v>117</v>
      </c>
      <c r="AH48" t="s">
        <v>656</v>
      </c>
      <c r="AI48" t="str">
        <f>VLOOKUP(O48,SQL!$E$1:$G$62,3,0)</f>
        <v>Calendar</v>
      </c>
    </row>
    <row r="49" spans="1:35" hidden="1" x14ac:dyDescent="0.25">
      <c r="A49">
        <v>66044</v>
      </c>
      <c r="B49">
        <v>63046</v>
      </c>
      <c r="C49" t="s">
        <v>33</v>
      </c>
      <c r="D49" t="s">
        <v>520</v>
      </c>
      <c r="E49" t="b">
        <v>0</v>
      </c>
      <c r="F49" t="s">
        <v>521</v>
      </c>
      <c r="G49" t="s">
        <v>521</v>
      </c>
      <c r="H49" t="s">
        <v>522</v>
      </c>
      <c r="I49" t="s">
        <v>523</v>
      </c>
      <c r="J49" t="s">
        <v>524</v>
      </c>
      <c r="K49" t="b">
        <v>1</v>
      </c>
      <c r="L49" t="s">
        <v>10</v>
      </c>
      <c r="M49" t="s">
        <v>525</v>
      </c>
      <c r="N49" t="s">
        <v>526</v>
      </c>
      <c r="O49" t="s">
        <v>527</v>
      </c>
      <c r="P49" t="s">
        <v>33</v>
      </c>
      <c r="Q49" t="s">
        <v>528</v>
      </c>
      <c r="R49" t="s">
        <v>523</v>
      </c>
      <c r="S49" t="s">
        <v>524</v>
      </c>
      <c r="T49" t="s">
        <v>529</v>
      </c>
      <c r="U49" t="s">
        <v>44</v>
      </c>
      <c r="V49" t="s">
        <v>45</v>
      </c>
      <c r="W49" t="s">
        <v>45</v>
      </c>
      <c r="X49">
        <v>1</v>
      </c>
      <c r="Y49" t="b">
        <v>0</v>
      </c>
      <c r="AC49" t="s">
        <v>46</v>
      </c>
      <c r="AD49" t="b">
        <v>1</v>
      </c>
      <c r="AE49" t="s">
        <v>47</v>
      </c>
      <c r="AG49" t="s">
        <v>106</v>
      </c>
      <c r="AH49" t="s">
        <v>656</v>
      </c>
      <c r="AI49" t="str">
        <f>VLOOKUP(O49,SQL!$E$1:$G$62,3,0)</f>
        <v>Calendar</v>
      </c>
    </row>
    <row r="50" spans="1:35" hidden="1" x14ac:dyDescent="0.25">
      <c r="A50">
        <v>65887</v>
      </c>
      <c r="B50">
        <v>9127</v>
      </c>
      <c r="C50" t="s">
        <v>33</v>
      </c>
      <c r="D50" t="s">
        <v>530</v>
      </c>
      <c r="E50" t="b">
        <v>0</v>
      </c>
      <c r="F50" t="s">
        <v>531</v>
      </c>
      <c r="G50" t="s">
        <v>531</v>
      </c>
      <c r="H50" t="s">
        <v>532</v>
      </c>
      <c r="I50" t="s">
        <v>533</v>
      </c>
      <c r="J50" t="s">
        <v>534</v>
      </c>
      <c r="K50" t="b">
        <v>1</v>
      </c>
      <c r="L50" t="s">
        <v>10</v>
      </c>
      <c r="M50" t="s">
        <v>535</v>
      </c>
      <c r="N50" t="s">
        <v>536</v>
      </c>
      <c r="O50" t="s">
        <v>537</v>
      </c>
      <c r="P50" t="s">
        <v>33</v>
      </c>
      <c r="Q50" t="s">
        <v>538</v>
      </c>
      <c r="R50" t="s">
        <v>533</v>
      </c>
      <c r="S50" t="s">
        <v>534</v>
      </c>
      <c r="T50" t="s">
        <v>539</v>
      </c>
      <c r="U50" t="s">
        <v>44</v>
      </c>
      <c r="V50" t="s">
        <v>45</v>
      </c>
      <c r="W50" t="s">
        <v>45</v>
      </c>
      <c r="X50">
        <v>1</v>
      </c>
      <c r="Y50" t="b">
        <v>0</v>
      </c>
      <c r="AC50" t="s">
        <v>46</v>
      </c>
      <c r="AD50" t="b">
        <v>1</v>
      </c>
      <c r="AE50" t="s">
        <v>47</v>
      </c>
      <c r="AG50" t="s">
        <v>117</v>
      </c>
      <c r="AH50" t="s">
        <v>656</v>
      </c>
      <c r="AI50" t="str">
        <f>VLOOKUP(O50,SQL!$E$1:$G$62,3,0)</f>
        <v>Calendar</v>
      </c>
    </row>
    <row r="51" spans="1:35" hidden="1" x14ac:dyDescent="0.25">
      <c r="A51">
        <v>65828</v>
      </c>
      <c r="B51">
        <v>11980</v>
      </c>
      <c r="C51" t="s">
        <v>33</v>
      </c>
      <c r="D51" t="s">
        <v>540</v>
      </c>
      <c r="E51" t="b">
        <v>0</v>
      </c>
      <c r="F51" t="s">
        <v>541</v>
      </c>
      <c r="G51" t="s">
        <v>541</v>
      </c>
      <c r="H51" t="s">
        <v>542</v>
      </c>
      <c r="I51" t="s">
        <v>543</v>
      </c>
      <c r="J51" t="s">
        <v>544</v>
      </c>
      <c r="K51" t="b">
        <v>1</v>
      </c>
      <c r="L51" t="s">
        <v>10</v>
      </c>
      <c r="M51" t="s">
        <v>545</v>
      </c>
      <c r="N51" t="s">
        <v>546</v>
      </c>
      <c r="O51" t="s">
        <v>547</v>
      </c>
      <c r="P51" t="s">
        <v>33</v>
      </c>
      <c r="Q51" t="s">
        <v>548</v>
      </c>
      <c r="R51" t="s">
        <v>543</v>
      </c>
      <c r="S51" t="s">
        <v>544</v>
      </c>
      <c r="T51" t="s">
        <v>549</v>
      </c>
      <c r="U51" t="s">
        <v>44</v>
      </c>
      <c r="V51" t="s">
        <v>45</v>
      </c>
      <c r="W51" t="s">
        <v>45</v>
      </c>
      <c r="X51">
        <v>1</v>
      </c>
      <c r="Y51" t="b">
        <v>0</v>
      </c>
      <c r="AC51" t="s">
        <v>46</v>
      </c>
      <c r="AD51" t="b">
        <v>1</v>
      </c>
      <c r="AE51" t="s">
        <v>47</v>
      </c>
      <c r="AG51" t="s">
        <v>33</v>
      </c>
      <c r="AH51" t="s">
        <v>656</v>
      </c>
      <c r="AI51" t="str">
        <f>VLOOKUP(O51,SQL!$E$1:$G$62,3,0)</f>
        <v>Calendar</v>
      </c>
    </row>
    <row r="52" spans="1:35" hidden="1" x14ac:dyDescent="0.25">
      <c r="A52">
        <v>65825</v>
      </c>
      <c r="B52">
        <v>62886</v>
      </c>
      <c r="C52" t="s">
        <v>33</v>
      </c>
      <c r="D52" t="s">
        <v>550</v>
      </c>
      <c r="E52" t="b">
        <v>0</v>
      </c>
      <c r="F52" t="s">
        <v>551</v>
      </c>
      <c r="G52" t="s">
        <v>551</v>
      </c>
      <c r="H52" t="s">
        <v>552</v>
      </c>
      <c r="I52" t="s">
        <v>553</v>
      </c>
      <c r="J52" t="s">
        <v>554</v>
      </c>
      <c r="K52" t="b">
        <v>1</v>
      </c>
      <c r="L52" t="s">
        <v>10</v>
      </c>
      <c r="M52" t="s">
        <v>555</v>
      </c>
      <c r="N52" t="s">
        <v>556</v>
      </c>
      <c r="O52" t="s">
        <v>557</v>
      </c>
      <c r="P52" t="s">
        <v>33</v>
      </c>
      <c r="Q52" t="s">
        <v>558</v>
      </c>
      <c r="R52" t="s">
        <v>553</v>
      </c>
      <c r="S52" t="s">
        <v>554</v>
      </c>
      <c r="T52" t="s">
        <v>559</v>
      </c>
      <c r="U52" t="s">
        <v>44</v>
      </c>
      <c r="V52" t="s">
        <v>45</v>
      </c>
      <c r="W52" t="s">
        <v>45</v>
      </c>
      <c r="X52">
        <v>1</v>
      </c>
      <c r="Y52" t="b">
        <v>0</v>
      </c>
      <c r="AC52" t="s">
        <v>46</v>
      </c>
      <c r="AD52" t="b">
        <v>1</v>
      </c>
      <c r="AE52" t="s">
        <v>47</v>
      </c>
      <c r="AG52" t="s">
        <v>58</v>
      </c>
      <c r="AH52" t="s">
        <v>656</v>
      </c>
      <c r="AI52" t="str">
        <f>VLOOKUP(O52,SQL!$E$1:$G$62,3,0)</f>
        <v>Calendar</v>
      </c>
    </row>
    <row r="53" spans="1:35" hidden="1" x14ac:dyDescent="0.25">
      <c r="A53">
        <v>65720</v>
      </c>
      <c r="B53">
        <v>62820</v>
      </c>
      <c r="C53" t="s">
        <v>33</v>
      </c>
      <c r="D53" t="s">
        <v>560</v>
      </c>
      <c r="E53" t="b">
        <v>0</v>
      </c>
      <c r="F53" t="s">
        <v>561</v>
      </c>
      <c r="G53" t="s">
        <v>561</v>
      </c>
      <c r="H53" t="s">
        <v>562</v>
      </c>
      <c r="I53" t="s">
        <v>563</v>
      </c>
      <c r="J53" t="s">
        <v>564</v>
      </c>
      <c r="K53" t="b">
        <v>1</v>
      </c>
      <c r="L53" t="s">
        <v>10</v>
      </c>
      <c r="M53" t="s">
        <v>565</v>
      </c>
      <c r="N53" t="s">
        <v>566</v>
      </c>
      <c r="O53" t="s">
        <v>567</v>
      </c>
      <c r="P53" t="s">
        <v>33</v>
      </c>
      <c r="Q53" t="s">
        <v>568</v>
      </c>
      <c r="R53" t="s">
        <v>563</v>
      </c>
      <c r="S53" t="s">
        <v>564</v>
      </c>
      <c r="T53" t="s">
        <v>569</v>
      </c>
      <c r="U53" t="s">
        <v>44</v>
      </c>
      <c r="V53" t="s">
        <v>45</v>
      </c>
      <c r="W53" t="s">
        <v>45</v>
      </c>
      <c r="X53">
        <v>1</v>
      </c>
      <c r="Y53" t="b">
        <v>0</v>
      </c>
      <c r="AC53" t="s">
        <v>46</v>
      </c>
      <c r="AD53" t="b">
        <v>1</v>
      </c>
      <c r="AE53" t="s">
        <v>47</v>
      </c>
      <c r="AG53" t="s">
        <v>95</v>
      </c>
      <c r="AH53" t="s">
        <v>656</v>
      </c>
      <c r="AI53" t="str">
        <f>VLOOKUP(O53,SQL!$E$1:$G$62,3,0)</f>
        <v>Calendar</v>
      </c>
    </row>
    <row r="54" spans="1:35" hidden="1" x14ac:dyDescent="0.25">
      <c r="A54">
        <v>65575</v>
      </c>
      <c r="B54">
        <v>62632</v>
      </c>
      <c r="C54" t="s">
        <v>33</v>
      </c>
      <c r="D54" t="s">
        <v>570</v>
      </c>
      <c r="E54" t="b">
        <v>0</v>
      </c>
      <c r="F54" t="s">
        <v>571</v>
      </c>
      <c r="G54" t="s">
        <v>571</v>
      </c>
      <c r="H54" t="s">
        <v>572</v>
      </c>
      <c r="I54" t="s">
        <v>573</v>
      </c>
      <c r="J54" t="s">
        <v>574</v>
      </c>
      <c r="K54" t="b">
        <v>1</v>
      </c>
      <c r="L54" t="s">
        <v>10</v>
      </c>
      <c r="M54" t="s">
        <v>575</v>
      </c>
      <c r="N54" t="s">
        <v>576</v>
      </c>
      <c r="O54" t="s">
        <v>577</v>
      </c>
      <c r="P54" t="s">
        <v>33</v>
      </c>
      <c r="Q54" t="s">
        <v>578</v>
      </c>
      <c r="R54" t="s">
        <v>579</v>
      </c>
      <c r="S54" t="s">
        <v>580</v>
      </c>
      <c r="T54" t="s">
        <v>581</v>
      </c>
      <c r="U54" t="s">
        <v>44</v>
      </c>
      <c r="V54" t="s">
        <v>45</v>
      </c>
      <c r="W54" t="s">
        <v>45</v>
      </c>
      <c r="X54">
        <v>1</v>
      </c>
      <c r="Y54" t="b">
        <v>0</v>
      </c>
      <c r="AC54" t="s">
        <v>46</v>
      </c>
      <c r="AD54" t="b">
        <v>0</v>
      </c>
      <c r="AE54" t="s">
        <v>47</v>
      </c>
      <c r="AG54" t="s">
        <v>83</v>
      </c>
      <c r="AH54" t="s">
        <v>656</v>
      </c>
      <c r="AI54" t="str">
        <f>VLOOKUP(O54,SQL!$E$1:$G$62,3,0)</f>
        <v>Calendar</v>
      </c>
    </row>
    <row r="55" spans="1:35" hidden="1" x14ac:dyDescent="0.25">
      <c r="A55">
        <v>65538</v>
      </c>
      <c r="B55">
        <v>62595</v>
      </c>
      <c r="C55" t="s">
        <v>33</v>
      </c>
      <c r="D55" t="s">
        <v>582</v>
      </c>
      <c r="E55" t="b">
        <v>0</v>
      </c>
      <c r="F55" t="s">
        <v>583</v>
      </c>
      <c r="G55" t="s">
        <v>583</v>
      </c>
      <c r="H55" t="s">
        <v>584</v>
      </c>
      <c r="I55" t="s">
        <v>585</v>
      </c>
      <c r="J55" t="s">
        <v>295</v>
      </c>
      <c r="K55" t="b">
        <v>1</v>
      </c>
      <c r="L55" t="s">
        <v>10</v>
      </c>
      <c r="M55" t="s">
        <v>586</v>
      </c>
      <c r="N55" t="s">
        <v>587</v>
      </c>
      <c r="O55" t="s">
        <v>588</v>
      </c>
      <c r="P55" t="s">
        <v>33</v>
      </c>
      <c r="Q55" t="s">
        <v>589</v>
      </c>
      <c r="R55" t="s">
        <v>590</v>
      </c>
      <c r="S55" t="s">
        <v>591</v>
      </c>
      <c r="T55" t="s">
        <v>592</v>
      </c>
      <c r="U55" t="s">
        <v>44</v>
      </c>
      <c r="V55" t="s">
        <v>45</v>
      </c>
      <c r="W55" t="s">
        <v>45</v>
      </c>
      <c r="X55">
        <v>1</v>
      </c>
      <c r="Y55" t="b">
        <v>0</v>
      </c>
      <c r="AC55" t="s">
        <v>46</v>
      </c>
      <c r="AD55" t="b">
        <v>0</v>
      </c>
      <c r="AE55" t="s">
        <v>47</v>
      </c>
      <c r="AG55" t="s">
        <v>33</v>
      </c>
      <c r="AH55" t="s">
        <v>656</v>
      </c>
      <c r="AI55" t="str">
        <f>VLOOKUP(O55,SQL!$E$1:$G$62,3,0)</f>
        <v>Calendar</v>
      </c>
    </row>
    <row r="56" spans="1:35" hidden="1" x14ac:dyDescent="0.25">
      <c r="A56">
        <v>65527</v>
      </c>
      <c r="B56">
        <v>62594</v>
      </c>
      <c r="C56" t="s">
        <v>33</v>
      </c>
      <c r="D56" t="s">
        <v>593</v>
      </c>
      <c r="E56" t="b">
        <v>0</v>
      </c>
      <c r="F56" t="s">
        <v>594</v>
      </c>
      <c r="G56" t="s">
        <v>594</v>
      </c>
      <c r="H56" t="s">
        <v>595</v>
      </c>
      <c r="I56" t="s">
        <v>596</v>
      </c>
      <c r="J56" t="s">
        <v>597</v>
      </c>
      <c r="K56" t="b">
        <v>1</v>
      </c>
      <c r="L56" t="s">
        <v>10</v>
      </c>
      <c r="M56" t="s">
        <v>598</v>
      </c>
      <c r="N56" t="s">
        <v>599</v>
      </c>
      <c r="O56" t="s">
        <v>600</v>
      </c>
      <c r="P56" t="s">
        <v>33</v>
      </c>
      <c r="Q56" t="s">
        <v>601</v>
      </c>
      <c r="R56" t="s">
        <v>596</v>
      </c>
      <c r="S56" t="s">
        <v>597</v>
      </c>
      <c r="T56" t="s">
        <v>602</v>
      </c>
      <c r="U56" t="s">
        <v>44</v>
      </c>
      <c r="V56" t="s">
        <v>45</v>
      </c>
      <c r="W56" t="s">
        <v>45</v>
      </c>
      <c r="X56">
        <v>1</v>
      </c>
      <c r="Y56" t="b">
        <v>0</v>
      </c>
      <c r="AC56" t="s">
        <v>46</v>
      </c>
      <c r="AD56" t="b">
        <v>0</v>
      </c>
      <c r="AE56" t="s">
        <v>47</v>
      </c>
      <c r="AG56" t="s">
        <v>117</v>
      </c>
      <c r="AH56" t="s">
        <v>656</v>
      </c>
      <c r="AI56" t="str">
        <f>VLOOKUP(O56,SQL!$E$1:$G$62,3,0)</f>
        <v>Calendar</v>
      </c>
    </row>
    <row r="57" spans="1:35" hidden="1" x14ac:dyDescent="0.25">
      <c r="A57">
        <v>65518</v>
      </c>
      <c r="B57">
        <v>62588</v>
      </c>
      <c r="C57" t="s">
        <v>33</v>
      </c>
      <c r="D57" t="s">
        <v>603</v>
      </c>
      <c r="E57" t="b">
        <v>0</v>
      </c>
      <c r="F57" t="s">
        <v>604</v>
      </c>
      <c r="G57" t="s">
        <v>604</v>
      </c>
      <c r="H57" t="s">
        <v>605</v>
      </c>
      <c r="I57" t="s">
        <v>606</v>
      </c>
      <c r="J57" t="s">
        <v>607</v>
      </c>
      <c r="K57" t="b">
        <v>1</v>
      </c>
      <c r="L57" t="s">
        <v>10</v>
      </c>
      <c r="M57" t="s">
        <v>608</v>
      </c>
      <c r="N57" t="s">
        <v>609</v>
      </c>
      <c r="O57" t="s">
        <v>610</v>
      </c>
      <c r="P57" t="s">
        <v>33</v>
      </c>
      <c r="Q57" t="s">
        <v>611</v>
      </c>
      <c r="R57" t="s">
        <v>606</v>
      </c>
      <c r="S57" t="s">
        <v>607</v>
      </c>
      <c r="T57" t="s">
        <v>612</v>
      </c>
      <c r="U57" t="s">
        <v>44</v>
      </c>
      <c r="V57" t="s">
        <v>45</v>
      </c>
      <c r="W57" t="s">
        <v>45</v>
      </c>
      <c r="X57">
        <v>1</v>
      </c>
      <c r="Y57" t="b">
        <v>0</v>
      </c>
      <c r="AC57" t="s">
        <v>46</v>
      </c>
      <c r="AD57" t="b">
        <v>0</v>
      </c>
      <c r="AE57" t="s">
        <v>47</v>
      </c>
      <c r="AG57" t="s">
        <v>117</v>
      </c>
      <c r="AH57" t="s">
        <v>656</v>
      </c>
      <c r="AI57" t="str">
        <f>VLOOKUP(O57,SQL!$E$1:$G$62,3,0)</f>
        <v>Calendar</v>
      </c>
    </row>
    <row r="58" spans="1:35" hidden="1" x14ac:dyDescent="0.25">
      <c r="A58">
        <v>65433</v>
      </c>
      <c r="B58">
        <v>62524</v>
      </c>
      <c r="C58" t="s">
        <v>33</v>
      </c>
      <c r="D58" t="s">
        <v>613</v>
      </c>
      <c r="E58" t="b">
        <v>0</v>
      </c>
      <c r="F58" t="s">
        <v>614</v>
      </c>
      <c r="G58" t="s">
        <v>615</v>
      </c>
      <c r="H58" t="s">
        <v>616</v>
      </c>
      <c r="I58" t="s">
        <v>617</v>
      </c>
      <c r="J58" t="s">
        <v>88</v>
      </c>
      <c r="K58" t="b">
        <v>1</v>
      </c>
      <c r="L58" t="s">
        <v>10</v>
      </c>
      <c r="M58" t="s">
        <v>618</v>
      </c>
      <c r="N58" t="s">
        <v>619</v>
      </c>
      <c r="O58" t="s">
        <v>620</v>
      </c>
      <c r="P58" t="s">
        <v>33</v>
      </c>
      <c r="Q58" t="s">
        <v>621</v>
      </c>
      <c r="R58" t="s">
        <v>617</v>
      </c>
      <c r="S58" t="s">
        <v>88</v>
      </c>
      <c r="T58" t="s">
        <v>622</v>
      </c>
      <c r="U58" t="s">
        <v>44</v>
      </c>
      <c r="V58" t="s">
        <v>45</v>
      </c>
      <c r="W58" t="s">
        <v>45</v>
      </c>
      <c r="X58">
        <v>1</v>
      </c>
      <c r="Y58" t="b">
        <v>0</v>
      </c>
      <c r="AC58" t="s">
        <v>46</v>
      </c>
      <c r="AD58" t="b">
        <v>1</v>
      </c>
      <c r="AE58" t="s">
        <v>47</v>
      </c>
      <c r="AG58" t="s">
        <v>33</v>
      </c>
      <c r="AH58" t="s">
        <v>656</v>
      </c>
      <c r="AI58" t="str">
        <f>VLOOKUP(O58,SQL!$E$1:$G$62,3,0)</f>
        <v>Calendar</v>
      </c>
    </row>
    <row r="59" spans="1:35" x14ac:dyDescent="0.25">
      <c r="A59">
        <v>65406</v>
      </c>
      <c r="B59">
        <v>62503</v>
      </c>
      <c r="C59" t="s">
        <v>33</v>
      </c>
      <c r="D59" t="s">
        <v>623</v>
      </c>
      <c r="E59" t="b">
        <v>0</v>
      </c>
      <c r="F59" t="s">
        <v>624</v>
      </c>
      <c r="G59" t="s">
        <v>615</v>
      </c>
      <c r="H59" t="s">
        <v>625</v>
      </c>
      <c r="I59" t="s">
        <v>626</v>
      </c>
      <c r="J59" t="s">
        <v>627</v>
      </c>
      <c r="K59" t="b">
        <v>1</v>
      </c>
      <c r="L59" t="s">
        <v>10</v>
      </c>
      <c r="M59" t="s">
        <v>628</v>
      </c>
      <c r="N59" t="s">
        <v>629</v>
      </c>
      <c r="O59" t="s">
        <v>630</v>
      </c>
      <c r="P59" t="s">
        <v>33</v>
      </c>
      <c r="Q59" t="s">
        <v>631</v>
      </c>
      <c r="R59" t="s">
        <v>626</v>
      </c>
      <c r="S59" t="s">
        <v>627</v>
      </c>
      <c r="T59" t="s">
        <v>632</v>
      </c>
      <c r="U59" t="s">
        <v>44</v>
      </c>
      <c r="V59" t="s">
        <v>45</v>
      </c>
      <c r="W59" t="s">
        <v>45</v>
      </c>
      <c r="X59">
        <v>1</v>
      </c>
      <c r="Y59" t="b">
        <v>0</v>
      </c>
      <c r="AC59" t="s">
        <v>46</v>
      </c>
      <c r="AD59" t="b">
        <v>1</v>
      </c>
      <c r="AE59" t="s">
        <v>47</v>
      </c>
      <c r="AG59" t="s">
        <v>95</v>
      </c>
      <c r="AH59" t="s">
        <v>656</v>
      </c>
      <c r="AI59" t="e">
        <f>VLOOKUP(O59,SQL!$E$1:$G$62,3,0)</f>
        <v>#N/A</v>
      </c>
    </row>
    <row r="60" spans="1:35" hidden="1" x14ac:dyDescent="0.25">
      <c r="A60">
        <v>65211</v>
      </c>
      <c r="B60">
        <v>50798</v>
      </c>
      <c r="C60" t="s">
        <v>33</v>
      </c>
      <c r="D60" t="s">
        <v>633</v>
      </c>
      <c r="E60" t="b">
        <v>0</v>
      </c>
      <c r="F60" t="s">
        <v>634</v>
      </c>
      <c r="G60" t="s">
        <v>615</v>
      </c>
      <c r="H60" t="s">
        <v>635</v>
      </c>
      <c r="I60" t="s">
        <v>636</v>
      </c>
      <c r="J60" t="s">
        <v>344</v>
      </c>
      <c r="K60" t="b">
        <v>1</v>
      </c>
      <c r="L60" t="s">
        <v>10</v>
      </c>
      <c r="M60" t="s">
        <v>637</v>
      </c>
      <c r="N60" t="s">
        <v>638</v>
      </c>
      <c r="O60" t="s">
        <v>639</v>
      </c>
      <c r="P60" t="s">
        <v>33</v>
      </c>
      <c r="Q60" t="s">
        <v>640</v>
      </c>
      <c r="R60" t="s">
        <v>636</v>
      </c>
      <c r="S60" t="s">
        <v>344</v>
      </c>
      <c r="T60" t="s">
        <v>641</v>
      </c>
      <c r="U60" t="s">
        <v>44</v>
      </c>
      <c r="V60" t="s">
        <v>45</v>
      </c>
      <c r="W60" t="s">
        <v>45</v>
      </c>
      <c r="X60">
        <v>1</v>
      </c>
      <c r="Y60" t="b">
        <v>0</v>
      </c>
      <c r="AC60" t="s">
        <v>46</v>
      </c>
      <c r="AD60" t="b">
        <v>1</v>
      </c>
      <c r="AE60" t="s">
        <v>47</v>
      </c>
      <c r="AG60" t="s">
        <v>106</v>
      </c>
      <c r="AH60" t="s">
        <v>656</v>
      </c>
      <c r="AI60" t="str">
        <f>VLOOKUP(O60,SQL!$E$1:$G$62,3,0)</f>
        <v>Calendar</v>
      </c>
    </row>
    <row r="61" spans="1:35" hidden="1" x14ac:dyDescent="0.25">
      <c r="A61">
        <v>65089</v>
      </c>
      <c r="B61">
        <v>27551</v>
      </c>
      <c r="C61" t="s">
        <v>33</v>
      </c>
      <c r="D61" t="s">
        <v>642</v>
      </c>
      <c r="E61" t="b">
        <v>0</v>
      </c>
      <c r="F61" t="s">
        <v>643</v>
      </c>
      <c r="G61" t="s">
        <v>615</v>
      </c>
      <c r="H61" t="s">
        <v>644</v>
      </c>
      <c r="I61" t="s">
        <v>645</v>
      </c>
      <c r="J61" t="s">
        <v>646</v>
      </c>
      <c r="K61" t="b">
        <v>1</v>
      </c>
      <c r="L61" t="s">
        <v>10</v>
      </c>
      <c r="M61" t="s">
        <v>647</v>
      </c>
      <c r="N61" t="s">
        <v>648</v>
      </c>
      <c r="O61" t="s">
        <v>649</v>
      </c>
      <c r="P61" t="s">
        <v>33</v>
      </c>
      <c r="Q61" t="s">
        <v>650</v>
      </c>
      <c r="R61" t="s">
        <v>651</v>
      </c>
      <c r="S61" t="s">
        <v>652</v>
      </c>
      <c r="T61" t="s">
        <v>653</v>
      </c>
      <c r="U61" t="s">
        <v>44</v>
      </c>
      <c r="V61" t="s">
        <v>45</v>
      </c>
      <c r="W61" t="s">
        <v>45</v>
      </c>
      <c r="X61">
        <v>1</v>
      </c>
      <c r="Y61" t="b">
        <v>0</v>
      </c>
      <c r="AC61" t="s">
        <v>46</v>
      </c>
      <c r="AD61" t="b">
        <v>1</v>
      </c>
      <c r="AE61" t="s">
        <v>47</v>
      </c>
      <c r="AG61" t="s">
        <v>654</v>
      </c>
      <c r="AH61" t="s">
        <v>656</v>
      </c>
      <c r="AI61" t="str">
        <f>VLOOKUP(O61,SQL!$E$1:$G$62,3,0)</f>
        <v>Calendar</v>
      </c>
    </row>
  </sheetData>
  <autoFilter ref="A1:AI61" xr:uid="{00000000-0001-0000-0000-000000000000}">
    <filterColumn colId="34">
      <filters>
        <filter val="#N/A"/>
      </filters>
    </filterColumn>
  </autoFilter>
  <hyperlinks>
    <hyperlink ref="O8" r:id="rId1" xr:uid="{D25CA218-8938-4225-AD54-F9E74F3BC36C}"/>
  </hyperlinks>
  <pageMargins left="0.7" right="0.7" top="0.75" bottom="0.75" header="0.3" footer="0.3"/>
  <ignoredErrors>
    <ignoredError sqref="A1:AG7 A55:AG61 B54:AG54 A9:AG53 A8 C8:N8 P8 R8:AG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C712-7C37-4B01-869B-C2DEF5B736C8}">
  <dimension ref="A1:M66"/>
  <sheetViews>
    <sheetView showGridLines="0" tabSelected="1" topLeftCell="A10" workbookViewId="0">
      <selection activeCell="D31" sqref="D31"/>
    </sheetView>
  </sheetViews>
  <sheetFormatPr defaultRowHeight="15.75" x14ac:dyDescent="0.25"/>
  <cols>
    <col min="1" max="1" width="14" bestFit="1" customWidth="1"/>
    <col min="2" max="2" width="13.625" bestFit="1" customWidth="1"/>
    <col min="3" max="3" width="17.75" bestFit="1" customWidth="1"/>
    <col min="4" max="4" width="41" bestFit="1" customWidth="1"/>
    <col min="5" max="5" width="33.25" bestFit="1" customWidth="1"/>
    <col min="6" max="6" width="11.875" bestFit="1" customWidth="1"/>
    <col min="7" max="7" width="22.75" bestFit="1" customWidth="1"/>
    <col min="10" max="10" width="18.875" bestFit="1" customWidth="1"/>
    <col min="11" max="13" width="12.375" customWidth="1"/>
  </cols>
  <sheetData>
    <row r="1" spans="1:13" x14ac:dyDescent="0.25">
      <c r="A1" s="4" t="s">
        <v>17</v>
      </c>
      <c r="B1" s="4" t="s">
        <v>18</v>
      </c>
      <c r="C1" s="4" t="s">
        <v>685</v>
      </c>
      <c r="D1" s="4" t="s">
        <v>16</v>
      </c>
      <c r="E1" s="4" t="s">
        <v>14</v>
      </c>
      <c r="F1" s="4" t="s">
        <v>12</v>
      </c>
      <c r="G1" s="4" t="s">
        <v>687</v>
      </c>
    </row>
    <row r="2" spans="1:13" x14ac:dyDescent="0.25">
      <c r="A2" s="5" t="s">
        <v>606</v>
      </c>
      <c r="B2" s="5" t="s">
        <v>607</v>
      </c>
      <c r="C2" s="6">
        <v>33031</v>
      </c>
      <c r="D2" s="5" t="s">
        <v>611</v>
      </c>
      <c r="E2" s="5" t="s">
        <v>610</v>
      </c>
      <c r="F2" s="5">
        <v>19546107476</v>
      </c>
      <c r="G2" s="5" t="s">
        <v>655</v>
      </c>
    </row>
    <row r="3" spans="1:13" x14ac:dyDescent="0.25">
      <c r="A3" s="5" t="s">
        <v>626</v>
      </c>
      <c r="B3" s="5" t="s">
        <v>627</v>
      </c>
      <c r="C3" s="6">
        <v>38573</v>
      </c>
      <c r="D3" s="5" t="s">
        <v>631</v>
      </c>
      <c r="E3" s="5" t="s">
        <v>684</v>
      </c>
      <c r="F3" s="5">
        <v>17868659503</v>
      </c>
      <c r="G3" s="5" t="s">
        <v>655</v>
      </c>
    </row>
    <row r="4" spans="1:13" x14ac:dyDescent="0.25">
      <c r="A4" s="5" t="s">
        <v>543</v>
      </c>
      <c r="B4" s="5" t="s">
        <v>544</v>
      </c>
      <c r="C4" s="6">
        <v>27345</v>
      </c>
      <c r="D4" s="5" t="s">
        <v>548</v>
      </c>
      <c r="E4" s="5" t="s">
        <v>547</v>
      </c>
      <c r="F4" s="5">
        <v>19548188189</v>
      </c>
      <c r="G4" s="5" t="s">
        <v>655</v>
      </c>
    </row>
    <row r="5" spans="1:13" x14ac:dyDescent="0.25">
      <c r="A5" s="5" t="s">
        <v>391</v>
      </c>
      <c r="B5" s="5" t="s">
        <v>392</v>
      </c>
      <c r="C5" s="6">
        <v>34609</v>
      </c>
      <c r="D5" s="5" t="s">
        <v>396</v>
      </c>
      <c r="E5" s="5" t="s">
        <v>395</v>
      </c>
      <c r="F5" s="5">
        <v>19546081595</v>
      </c>
      <c r="G5" s="5" t="s">
        <v>655</v>
      </c>
    </row>
    <row r="6" spans="1:13" x14ac:dyDescent="0.25">
      <c r="A6" s="5" t="s">
        <v>253</v>
      </c>
      <c r="B6" s="5" t="s">
        <v>254</v>
      </c>
      <c r="C6" s="6">
        <v>32901</v>
      </c>
      <c r="D6" s="5" t="s">
        <v>258</v>
      </c>
      <c r="E6" s="5" t="s">
        <v>257</v>
      </c>
      <c r="F6" s="5">
        <v>19547322921</v>
      </c>
      <c r="G6" s="5" t="s">
        <v>655</v>
      </c>
    </row>
    <row r="7" spans="1:13" x14ac:dyDescent="0.25">
      <c r="A7" s="5" t="s">
        <v>74</v>
      </c>
      <c r="B7" s="5" t="s">
        <v>75</v>
      </c>
      <c r="C7" s="6">
        <v>26545</v>
      </c>
      <c r="D7" s="5" t="s">
        <v>79</v>
      </c>
      <c r="E7" s="5" t="s">
        <v>78</v>
      </c>
      <c r="F7" s="5">
        <v>17868659503</v>
      </c>
      <c r="G7" s="5" t="s">
        <v>655</v>
      </c>
    </row>
    <row r="8" spans="1:13" x14ac:dyDescent="0.25">
      <c r="A8" s="5" t="s">
        <v>343</v>
      </c>
      <c r="B8" s="5" t="s">
        <v>344</v>
      </c>
      <c r="C8" s="6">
        <v>46277</v>
      </c>
      <c r="D8" s="5" t="s">
        <v>348</v>
      </c>
      <c r="E8" s="5" t="s">
        <v>347</v>
      </c>
      <c r="F8" s="5">
        <v>14078740744</v>
      </c>
      <c r="G8" s="5" t="s">
        <v>655</v>
      </c>
      <c r="K8" s="11" t="s">
        <v>687</v>
      </c>
      <c r="L8" s="11"/>
    </row>
    <row r="9" spans="1:13" x14ac:dyDescent="0.25">
      <c r="A9" s="5" t="s">
        <v>243</v>
      </c>
      <c r="B9" s="5" t="s">
        <v>244</v>
      </c>
      <c r="C9" s="6">
        <v>33490</v>
      </c>
      <c r="D9" s="5" t="s">
        <v>248</v>
      </c>
      <c r="E9" s="5" t="s">
        <v>247</v>
      </c>
      <c r="F9" s="5">
        <v>13059044778</v>
      </c>
      <c r="G9" s="5" t="s">
        <v>655</v>
      </c>
      <c r="K9" s="7" t="s">
        <v>655</v>
      </c>
      <c r="L9" s="7" t="s">
        <v>686</v>
      </c>
      <c r="M9" s="10" t="s">
        <v>688</v>
      </c>
    </row>
    <row r="10" spans="1:13" x14ac:dyDescent="0.25">
      <c r="A10" s="5" t="s">
        <v>68</v>
      </c>
      <c r="B10" s="5" t="s">
        <v>275</v>
      </c>
      <c r="C10" s="6">
        <v>20432</v>
      </c>
      <c r="D10" s="5" t="s">
        <v>279</v>
      </c>
      <c r="E10" s="5" t="s">
        <v>278</v>
      </c>
      <c r="F10" s="5">
        <v>12522561499</v>
      </c>
      <c r="G10" s="5" t="s">
        <v>655</v>
      </c>
      <c r="J10" s="9"/>
      <c r="K10" s="5">
        <f>COUNTIF(G1:G100, "Calendar")</f>
        <v>60</v>
      </c>
      <c r="L10" s="5">
        <f>COUNTIF(G1:G100, "Link")</f>
        <v>5</v>
      </c>
      <c r="M10" s="8">
        <f>K10+L10</f>
        <v>65</v>
      </c>
    </row>
    <row r="11" spans="1:13" x14ac:dyDescent="0.25">
      <c r="A11" s="5" t="s">
        <v>62</v>
      </c>
      <c r="B11" s="5" t="s">
        <v>63</v>
      </c>
      <c r="C11" s="5" t="s">
        <v>61</v>
      </c>
      <c r="D11" s="5" t="s">
        <v>67</v>
      </c>
      <c r="E11" s="5" t="s">
        <v>66</v>
      </c>
      <c r="F11" s="5">
        <v>19544151592</v>
      </c>
      <c r="G11" s="5" t="s">
        <v>655</v>
      </c>
    </row>
    <row r="12" spans="1:13" x14ac:dyDescent="0.25">
      <c r="A12" s="5" t="s">
        <v>617</v>
      </c>
      <c r="B12" s="5" t="s">
        <v>88</v>
      </c>
      <c r="C12" s="6">
        <v>32321</v>
      </c>
      <c r="D12" s="5" t="s">
        <v>621</v>
      </c>
      <c r="E12" s="5" t="s">
        <v>620</v>
      </c>
      <c r="F12" s="5">
        <v>17863972419</v>
      </c>
      <c r="G12" s="5" t="s">
        <v>655</v>
      </c>
    </row>
    <row r="13" spans="1:13" x14ac:dyDescent="0.25">
      <c r="A13" s="5" t="s">
        <v>401</v>
      </c>
      <c r="B13" s="5"/>
      <c r="C13" s="6">
        <v>32495</v>
      </c>
      <c r="D13" s="5" t="s">
        <v>405</v>
      </c>
      <c r="E13" s="5" t="s">
        <v>404</v>
      </c>
      <c r="F13" s="5">
        <v>117864742440</v>
      </c>
      <c r="G13" s="5" t="s">
        <v>655</v>
      </c>
    </row>
    <row r="14" spans="1:13" x14ac:dyDescent="0.25">
      <c r="A14" s="5" t="s">
        <v>294</v>
      </c>
      <c r="B14" s="5" t="s">
        <v>295</v>
      </c>
      <c r="C14" s="6">
        <v>27407</v>
      </c>
      <c r="D14" s="5" t="s">
        <v>299</v>
      </c>
      <c r="E14" s="5" t="s">
        <v>298</v>
      </c>
      <c r="F14" s="5">
        <v>17542327777</v>
      </c>
      <c r="G14" s="5" t="s">
        <v>655</v>
      </c>
    </row>
    <row r="15" spans="1:13" x14ac:dyDescent="0.25">
      <c r="A15" s="5" t="s">
        <v>202</v>
      </c>
      <c r="B15" s="5" t="s">
        <v>203</v>
      </c>
      <c r="C15" s="6">
        <v>30224</v>
      </c>
      <c r="D15" s="5" t="s">
        <v>207</v>
      </c>
      <c r="E15" s="5" t="s">
        <v>206</v>
      </c>
      <c r="F15" s="5">
        <v>19545521016</v>
      </c>
      <c r="G15" s="5" t="s">
        <v>655</v>
      </c>
    </row>
    <row r="16" spans="1:13" x14ac:dyDescent="0.25">
      <c r="A16" s="5" t="s">
        <v>131</v>
      </c>
      <c r="B16" s="5" t="s">
        <v>132</v>
      </c>
      <c r="C16" s="6">
        <v>35228</v>
      </c>
      <c r="D16" s="5" t="s">
        <v>136</v>
      </c>
      <c r="E16" s="5" t="s">
        <v>135</v>
      </c>
      <c r="F16" s="5">
        <v>13054962504</v>
      </c>
      <c r="G16" s="5" t="s">
        <v>655</v>
      </c>
    </row>
    <row r="17" spans="1:7" x14ac:dyDescent="0.25">
      <c r="A17" s="5" t="s">
        <v>160</v>
      </c>
      <c r="B17" s="5" t="s">
        <v>161</v>
      </c>
      <c r="C17" s="6">
        <v>46084</v>
      </c>
      <c r="D17" s="5" t="s">
        <v>165</v>
      </c>
      <c r="E17" s="5" t="s">
        <v>164</v>
      </c>
      <c r="F17" s="5">
        <v>19548992891</v>
      </c>
      <c r="G17" s="5" t="s">
        <v>655</v>
      </c>
    </row>
    <row r="18" spans="1:7" x14ac:dyDescent="0.25">
      <c r="A18" s="5" t="s">
        <v>231</v>
      </c>
      <c r="B18" s="5" t="s">
        <v>232</v>
      </c>
      <c r="C18" s="6">
        <v>35680</v>
      </c>
      <c r="D18" s="5" t="s">
        <v>236</v>
      </c>
      <c r="E18" s="5" t="s">
        <v>235</v>
      </c>
      <c r="F18" s="5">
        <v>13473518575</v>
      </c>
      <c r="G18" s="5" t="s">
        <v>655</v>
      </c>
    </row>
    <row r="19" spans="1:7" x14ac:dyDescent="0.25">
      <c r="A19" s="5" t="s">
        <v>51</v>
      </c>
      <c r="B19" s="5" t="s">
        <v>52</v>
      </c>
      <c r="C19" s="6">
        <v>34368</v>
      </c>
      <c r="D19" s="5" t="s">
        <v>671</v>
      </c>
      <c r="E19" s="5" t="s">
        <v>55</v>
      </c>
      <c r="F19" s="5">
        <v>7865373662</v>
      </c>
      <c r="G19" s="5" t="s">
        <v>655</v>
      </c>
    </row>
    <row r="20" spans="1:7" x14ac:dyDescent="0.25">
      <c r="A20" s="5" t="s">
        <v>563</v>
      </c>
      <c r="B20" s="5" t="s">
        <v>564</v>
      </c>
      <c r="C20" s="6">
        <v>37420</v>
      </c>
      <c r="D20" s="5" t="s">
        <v>568</v>
      </c>
      <c r="E20" s="5" t="s">
        <v>567</v>
      </c>
      <c r="F20" s="5">
        <v>19542988766</v>
      </c>
      <c r="G20" s="5" t="s">
        <v>655</v>
      </c>
    </row>
    <row r="21" spans="1:7" x14ac:dyDescent="0.25">
      <c r="A21" s="5" t="s">
        <v>121</v>
      </c>
      <c r="B21" s="5" t="s">
        <v>122</v>
      </c>
      <c r="C21" s="6">
        <v>46016</v>
      </c>
      <c r="D21" s="5" t="s">
        <v>126</v>
      </c>
      <c r="E21" s="5" t="s">
        <v>125</v>
      </c>
      <c r="F21" s="5">
        <v>17542421276</v>
      </c>
      <c r="G21" s="5" t="s">
        <v>655</v>
      </c>
    </row>
    <row r="22" spans="1:7" x14ac:dyDescent="0.25">
      <c r="A22" s="5" t="s">
        <v>523</v>
      </c>
      <c r="B22" s="5" t="s">
        <v>524</v>
      </c>
      <c r="C22" s="6">
        <v>23309</v>
      </c>
      <c r="D22" s="5" t="s">
        <v>528</v>
      </c>
      <c r="E22" s="5" t="s">
        <v>527</v>
      </c>
      <c r="F22" s="5">
        <v>19542983147</v>
      </c>
      <c r="G22" s="5" t="s">
        <v>655</v>
      </c>
    </row>
    <row r="23" spans="1:7" x14ac:dyDescent="0.25">
      <c r="A23" s="5" t="s">
        <v>314</v>
      </c>
      <c r="B23" s="5" t="s">
        <v>315</v>
      </c>
      <c r="C23" s="6">
        <v>30710</v>
      </c>
      <c r="D23" s="5" t="s">
        <v>319</v>
      </c>
      <c r="E23" s="5" t="s">
        <v>318</v>
      </c>
      <c r="F23" s="5">
        <v>17864395024</v>
      </c>
      <c r="G23" s="5" t="s">
        <v>655</v>
      </c>
    </row>
    <row r="24" spans="1:7" x14ac:dyDescent="0.25">
      <c r="A24" s="5" t="s">
        <v>304</v>
      </c>
      <c r="B24" s="5" t="s">
        <v>305</v>
      </c>
      <c r="C24" s="6">
        <v>39491</v>
      </c>
      <c r="D24" s="5" t="s">
        <v>309</v>
      </c>
      <c r="E24" s="5" t="s">
        <v>308</v>
      </c>
      <c r="F24" s="5">
        <v>18509022031</v>
      </c>
      <c r="G24" s="5" t="s">
        <v>655</v>
      </c>
    </row>
    <row r="25" spans="1:7" x14ac:dyDescent="0.25">
      <c r="A25" s="5" t="s">
        <v>645</v>
      </c>
      <c r="B25" s="5" t="s">
        <v>646</v>
      </c>
      <c r="C25" s="6">
        <v>30018</v>
      </c>
      <c r="D25" s="5" t="s">
        <v>650</v>
      </c>
      <c r="E25" s="5" t="s">
        <v>649</v>
      </c>
      <c r="F25" s="5">
        <v>19542573000</v>
      </c>
      <c r="G25" s="5" t="s">
        <v>655</v>
      </c>
    </row>
    <row r="26" spans="1:7" x14ac:dyDescent="0.25">
      <c r="A26" s="5" t="s">
        <v>573</v>
      </c>
      <c r="B26" s="5" t="s">
        <v>574</v>
      </c>
      <c r="C26" s="6">
        <v>29228</v>
      </c>
      <c r="D26" s="5" t="s">
        <v>578</v>
      </c>
      <c r="E26" s="5" t="s">
        <v>577</v>
      </c>
      <c r="F26" s="5">
        <v>13026432243</v>
      </c>
      <c r="G26" s="5" t="s">
        <v>655</v>
      </c>
    </row>
    <row r="27" spans="1:7" x14ac:dyDescent="0.25">
      <c r="A27" s="5" t="s">
        <v>212</v>
      </c>
      <c r="B27" s="5" t="s">
        <v>213</v>
      </c>
      <c r="C27" s="6">
        <v>31956</v>
      </c>
      <c r="D27" s="5" t="s">
        <v>217</v>
      </c>
      <c r="E27" s="5" t="s">
        <v>216</v>
      </c>
      <c r="F27" s="5">
        <v>19546083788</v>
      </c>
      <c r="G27" s="5" t="s">
        <v>655</v>
      </c>
    </row>
    <row r="28" spans="1:7" x14ac:dyDescent="0.25">
      <c r="A28" s="5" t="s">
        <v>453</v>
      </c>
      <c r="B28" s="5" t="s">
        <v>454</v>
      </c>
      <c r="C28" s="6">
        <v>24715</v>
      </c>
      <c r="D28" s="5" t="s">
        <v>456</v>
      </c>
      <c r="E28" s="5" t="s">
        <v>455</v>
      </c>
      <c r="F28" s="5"/>
      <c r="G28" s="5" t="s">
        <v>655</v>
      </c>
    </row>
    <row r="29" spans="1:7" x14ac:dyDescent="0.25">
      <c r="A29" s="5" t="s">
        <v>679</v>
      </c>
      <c r="B29" s="5" t="s">
        <v>678</v>
      </c>
      <c r="C29" s="6">
        <v>46039</v>
      </c>
      <c r="D29" s="5" t="s">
        <v>677</v>
      </c>
      <c r="E29" s="5" t="s">
        <v>103</v>
      </c>
      <c r="F29" s="5">
        <v>9542639644</v>
      </c>
      <c r="G29" s="5" t="s">
        <v>655</v>
      </c>
    </row>
    <row r="30" spans="1:7" x14ac:dyDescent="0.25">
      <c r="A30" s="5" t="s">
        <v>585</v>
      </c>
      <c r="B30" s="5" t="s">
        <v>295</v>
      </c>
      <c r="C30" s="6">
        <v>32090</v>
      </c>
      <c r="D30" s="5" t="s">
        <v>589</v>
      </c>
      <c r="E30" s="5" t="s">
        <v>588</v>
      </c>
      <c r="F30" s="5">
        <v>19542285756</v>
      </c>
      <c r="G30" s="5" t="s">
        <v>655</v>
      </c>
    </row>
    <row r="31" spans="1:7" x14ac:dyDescent="0.25">
      <c r="A31" s="5" t="s">
        <v>222</v>
      </c>
      <c r="B31" s="5" t="s">
        <v>122</v>
      </c>
      <c r="C31" s="6">
        <v>27039</v>
      </c>
      <c r="D31" s="5" t="s">
        <v>155</v>
      </c>
      <c r="E31" s="5" t="s">
        <v>225</v>
      </c>
      <c r="F31" s="5">
        <v>19543106454</v>
      </c>
      <c r="G31" s="5" t="s">
        <v>655</v>
      </c>
    </row>
    <row r="32" spans="1:7" x14ac:dyDescent="0.25">
      <c r="A32" s="5" t="s">
        <v>151</v>
      </c>
      <c r="B32" s="5" t="s">
        <v>122</v>
      </c>
      <c r="C32" s="6">
        <v>40184</v>
      </c>
      <c r="D32" s="5" t="s">
        <v>155</v>
      </c>
      <c r="E32" s="5" t="s">
        <v>154</v>
      </c>
      <c r="F32" s="5">
        <v>17542440057</v>
      </c>
      <c r="G32" s="5" t="s">
        <v>655</v>
      </c>
    </row>
    <row r="33" spans="1:7" x14ac:dyDescent="0.25">
      <c r="A33" s="5" t="s">
        <v>533</v>
      </c>
      <c r="B33" s="5" t="s">
        <v>534</v>
      </c>
      <c r="C33" s="6">
        <v>29409</v>
      </c>
      <c r="D33" s="5" t="s">
        <v>538</v>
      </c>
      <c r="E33" s="5" t="s">
        <v>537</v>
      </c>
      <c r="F33" s="5">
        <v>19549909669</v>
      </c>
      <c r="G33" s="5" t="s">
        <v>655</v>
      </c>
    </row>
    <row r="34" spans="1:7" x14ac:dyDescent="0.25">
      <c r="A34" s="5" t="s">
        <v>324</v>
      </c>
      <c r="B34" s="5" t="s">
        <v>325</v>
      </c>
      <c r="C34" s="6">
        <v>33310</v>
      </c>
      <c r="D34" s="5" t="s">
        <v>329</v>
      </c>
      <c r="E34" s="5" t="s">
        <v>328</v>
      </c>
      <c r="F34" s="5">
        <v>17549719418</v>
      </c>
      <c r="G34" s="5" t="s">
        <v>655</v>
      </c>
    </row>
    <row r="35" spans="1:7" x14ac:dyDescent="0.25">
      <c r="A35" s="5" t="s">
        <v>141</v>
      </c>
      <c r="B35" s="5" t="s">
        <v>142</v>
      </c>
      <c r="C35" s="6">
        <v>43833</v>
      </c>
      <c r="D35" s="5" t="s">
        <v>146</v>
      </c>
      <c r="E35" s="5" t="s">
        <v>145</v>
      </c>
      <c r="F35" s="5">
        <v>13527927617</v>
      </c>
      <c r="G35" s="5" t="s">
        <v>655</v>
      </c>
    </row>
    <row r="36" spans="1:7" x14ac:dyDescent="0.25">
      <c r="A36" s="5" t="s">
        <v>481</v>
      </c>
      <c r="B36" s="5" t="s">
        <v>482</v>
      </c>
      <c r="C36" s="6">
        <v>46022</v>
      </c>
      <c r="D36" s="5" t="s">
        <v>486</v>
      </c>
      <c r="E36" s="5" t="s">
        <v>485</v>
      </c>
      <c r="F36" s="5">
        <v>9546087832</v>
      </c>
      <c r="G36" s="5" t="s">
        <v>655</v>
      </c>
    </row>
    <row r="37" spans="1:7" x14ac:dyDescent="0.25">
      <c r="A37" s="5" t="s">
        <v>171</v>
      </c>
      <c r="B37" s="5" t="s">
        <v>172</v>
      </c>
      <c r="C37" s="6">
        <v>46027</v>
      </c>
      <c r="D37" s="5" t="s">
        <v>177</v>
      </c>
      <c r="E37" s="5" t="s">
        <v>176</v>
      </c>
      <c r="F37" s="5">
        <v>19178373410</v>
      </c>
      <c r="G37" s="5" t="s">
        <v>655</v>
      </c>
    </row>
    <row r="38" spans="1:7" x14ac:dyDescent="0.25">
      <c r="A38" s="5" t="s">
        <v>666</v>
      </c>
      <c r="B38" s="5" t="s">
        <v>665</v>
      </c>
      <c r="C38" s="6">
        <v>30758</v>
      </c>
      <c r="D38" s="5" t="s">
        <v>664</v>
      </c>
      <c r="E38" s="5" t="s">
        <v>663</v>
      </c>
      <c r="F38" s="5">
        <v>3056329360</v>
      </c>
      <c r="G38" s="5" t="s">
        <v>686</v>
      </c>
    </row>
    <row r="39" spans="1:7" x14ac:dyDescent="0.25">
      <c r="A39" s="5" t="s">
        <v>512</v>
      </c>
      <c r="B39" s="5" t="s">
        <v>513</v>
      </c>
      <c r="C39" s="6">
        <v>33003</v>
      </c>
      <c r="D39" s="5" t="s">
        <v>517</v>
      </c>
      <c r="E39" s="5" t="s">
        <v>516</v>
      </c>
      <c r="F39" s="5">
        <v>13057530953</v>
      </c>
      <c r="G39" s="5" t="s">
        <v>655</v>
      </c>
    </row>
    <row r="40" spans="1:7" x14ac:dyDescent="0.25">
      <c r="A40" s="5" t="s">
        <v>636</v>
      </c>
      <c r="B40" s="5" t="s">
        <v>344</v>
      </c>
      <c r="C40" s="6">
        <v>25297</v>
      </c>
      <c r="D40" s="5" t="s">
        <v>640</v>
      </c>
      <c r="E40" s="5" t="s">
        <v>639</v>
      </c>
      <c r="F40" s="5">
        <v>19542436914</v>
      </c>
      <c r="G40" s="5" t="s">
        <v>655</v>
      </c>
    </row>
    <row r="41" spans="1:7" x14ac:dyDescent="0.25">
      <c r="A41" s="5" t="s">
        <v>433</v>
      </c>
      <c r="B41" s="5" t="s">
        <v>434</v>
      </c>
      <c r="C41" s="6">
        <v>29461</v>
      </c>
      <c r="D41" s="5" t="s">
        <v>438</v>
      </c>
      <c r="E41" s="5" t="s">
        <v>437</v>
      </c>
      <c r="F41" s="5">
        <v>19542882035</v>
      </c>
      <c r="G41" s="5" t="s">
        <v>655</v>
      </c>
    </row>
    <row r="42" spans="1:7" x14ac:dyDescent="0.25">
      <c r="A42" s="5" t="s">
        <v>263</v>
      </c>
      <c r="B42" s="5" t="s">
        <v>264</v>
      </c>
      <c r="C42" s="6">
        <v>29716</v>
      </c>
      <c r="D42" s="5" t="s">
        <v>268</v>
      </c>
      <c r="E42" s="5" t="s">
        <v>267</v>
      </c>
      <c r="F42" s="5">
        <v>19546820453</v>
      </c>
      <c r="G42" s="5" t="s">
        <v>655</v>
      </c>
    </row>
    <row r="43" spans="1:7" x14ac:dyDescent="0.25">
      <c r="A43" s="5" t="s">
        <v>284</v>
      </c>
      <c r="B43" s="5" t="s">
        <v>285</v>
      </c>
      <c r="C43" s="6">
        <v>27329</v>
      </c>
      <c r="D43" s="5" t="s">
        <v>289</v>
      </c>
      <c r="E43" s="5" t="s">
        <v>288</v>
      </c>
      <c r="F43" s="5">
        <v>19549077995</v>
      </c>
      <c r="G43" s="5" t="s">
        <v>655</v>
      </c>
    </row>
    <row r="44" spans="1:7" x14ac:dyDescent="0.25">
      <c r="A44" s="5" t="s">
        <v>423</v>
      </c>
      <c r="B44" s="5" t="s">
        <v>424</v>
      </c>
      <c r="C44" s="6">
        <v>29838</v>
      </c>
      <c r="D44" s="5" t="s">
        <v>428</v>
      </c>
      <c r="E44" s="5" t="s">
        <v>427</v>
      </c>
      <c r="F44" s="5">
        <v>19548565650</v>
      </c>
      <c r="G44" s="5" t="s">
        <v>655</v>
      </c>
    </row>
    <row r="45" spans="1:7" x14ac:dyDescent="0.25">
      <c r="A45" s="5" t="s">
        <v>192</v>
      </c>
      <c r="B45" s="5" t="s">
        <v>193</v>
      </c>
      <c r="C45" s="6">
        <v>25546</v>
      </c>
      <c r="D45" s="5" t="s">
        <v>197</v>
      </c>
      <c r="E45" s="5" t="s">
        <v>196</v>
      </c>
      <c r="F45" s="5">
        <v>19544465736</v>
      </c>
      <c r="G45" s="5" t="s">
        <v>655</v>
      </c>
    </row>
    <row r="46" spans="1:7" x14ac:dyDescent="0.25">
      <c r="A46" s="5" t="s">
        <v>371</v>
      </c>
      <c r="B46" s="5" t="s">
        <v>372</v>
      </c>
      <c r="C46" s="6">
        <v>25815</v>
      </c>
      <c r="D46" s="5" t="s">
        <v>376</v>
      </c>
      <c r="E46" s="5" t="s">
        <v>375</v>
      </c>
      <c r="F46" s="5">
        <v>19544444400</v>
      </c>
      <c r="G46" s="5" t="s">
        <v>655</v>
      </c>
    </row>
    <row r="47" spans="1:7" x14ac:dyDescent="0.25">
      <c r="A47" s="5" t="s">
        <v>334</v>
      </c>
      <c r="B47" s="5" t="s">
        <v>142</v>
      </c>
      <c r="C47" s="6">
        <v>46186</v>
      </c>
      <c r="D47" s="5" t="s">
        <v>338</v>
      </c>
      <c r="E47" s="5" t="s">
        <v>337</v>
      </c>
      <c r="F47" s="5">
        <v>19549130299</v>
      </c>
      <c r="G47" s="5" t="s">
        <v>655</v>
      </c>
    </row>
    <row r="48" spans="1:7" x14ac:dyDescent="0.25">
      <c r="A48" s="5" t="s">
        <v>492</v>
      </c>
      <c r="B48" s="5" t="s">
        <v>493</v>
      </c>
      <c r="C48" s="6">
        <v>28471</v>
      </c>
      <c r="D48" s="5" t="s">
        <v>497</v>
      </c>
      <c r="E48" s="5" t="s">
        <v>496</v>
      </c>
      <c r="F48" s="5">
        <v>16783334022</v>
      </c>
      <c r="G48" s="5" t="s">
        <v>655</v>
      </c>
    </row>
    <row r="49" spans="1:7" x14ac:dyDescent="0.25">
      <c r="A49" s="5" t="s">
        <v>412</v>
      </c>
      <c r="B49" s="5" t="s">
        <v>413</v>
      </c>
      <c r="C49" s="6">
        <v>27113</v>
      </c>
      <c r="D49" s="5" t="s">
        <v>417</v>
      </c>
      <c r="E49" s="5" t="s">
        <v>416</v>
      </c>
      <c r="F49" s="5">
        <v>19545880075</v>
      </c>
      <c r="G49" s="5" t="s">
        <v>655</v>
      </c>
    </row>
    <row r="50" spans="1:7" x14ac:dyDescent="0.25">
      <c r="A50" s="5" t="s">
        <v>553</v>
      </c>
      <c r="B50" s="5" t="s">
        <v>554</v>
      </c>
      <c r="C50" s="6">
        <v>35962</v>
      </c>
      <c r="D50" s="5" t="s">
        <v>558</v>
      </c>
      <c r="E50" s="5" t="s">
        <v>557</v>
      </c>
      <c r="F50" s="5">
        <v>19548894223</v>
      </c>
      <c r="G50" s="5" t="s">
        <v>655</v>
      </c>
    </row>
    <row r="51" spans="1:7" x14ac:dyDescent="0.25">
      <c r="A51" s="5" t="s">
        <v>502</v>
      </c>
      <c r="B51" s="5" t="s">
        <v>503</v>
      </c>
      <c r="C51" s="6">
        <v>25640</v>
      </c>
      <c r="D51" s="5" t="s">
        <v>507</v>
      </c>
      <c r="E51" s="5" t="s">
        <v>506</v>
      </c>
      <c r="F51" s="5">
        <v>18659647105</v>
      </c>
      <c r="G51" s="5" t="s">
        <v>655</v>
      </c>
    </row>
    <row r="52" spans="1:7" x14ac:dyDescent="0.25">
      <c r="A52" s="5" t="s">
        <v>670</v>
      </c>
      <c r="B52" s="5" t="s">
        <v>669</v>
      </c>
      <c r="C52" s="6">
        <v>34791</v>
      </c>
      <c r="D52" s="5" t="s">
        <v>668</v>
      </c>
      <c r="E52" s="5" t="s">
        <v>667</v>
      </c>
      <c r="F52" s="5">
        <v>9549015560</v>
      </c>
      <c r="G52" s="5" t="s">
        <v>686</v>
      </c>
    </row>
    <row r="53" spans="1:7" x14ac:dyDescent="0.25">
      <c r="A53" s="5" t="s">
        <v>110</v>
      </c>
      <c r="B53" s="5" t="s">
        <v>111</v>
      </c>
      <c r="C53" s="5" t="s">
        <v>109</v>
      </c>
      <c r="D53" s="5" t="s">
        <v>115</v>
      </c>
      <c r="E53" s="5" t="s">
        <v>114</v>
      </c>
      <c r="F53" s="5">
        <v>19546518555</v>
      </c>
      <c r="G53" s="5" t="s">
        <v>655</v>
      </c>
    </row>
    <row r="54" spans="1:7" x14ac:dyDescent="0.25">
      <c r="A54" s="5" t="s">
        <v>37</v>
      </c>
      <c r="B54" s="5" t="s">
        <v>38</v>
      </c>
      <c r="C54" s="6">
        <v>35928</v>
      </c>
      <c r="D54" s="5" t="s">
        <v>42</v>
      </c>
      <c r="E54" s="5" t="s">
        <v>672</v>
      </c>
      <c r="F54" s="5">
        <v>3057613295</v>
      </c>
      <c r="G54" s="5" t="s">
        <v>655</v>
      </c>
    </row>
    <row r="55" spans="1:7" x14ac:dyDescent="0.25">
      <c r="A55" s="5" t="s">
        <v>363</v>
      </c>
      <c r="B55" s="5" t="s">
        <v>354</v>
      </c>
      <c r="C55" s="6">
        <v>27984</v>
      </c>
      <c r="D55" s="5" t="s">
        <v>358</v>
      </c>
      <c r="E55" s="5" t="s">
        <v>366</v>
      </c>
      <c r="F55" s="5">
        <v>19548644680</v>
      </c>
      <c r="G55" s="5" t="s">
        <v>655</v>
      </c>
    </row>
    <row r="56" spans="1:7" x14ac:dyDescent="0.25">
      <c r="A56" s="5" t="s">
        <v>353</v>
      </c>
      <c r="B56" s="5" t="s">
        <v>354</v>
      </c>
      <c r="C56" s="6">
        <v>26230</v>
      </c>
      <c r="D56" s="5" t="s">
        <v>358</v>
      </c>
      <c r="E56" s="5" t="s">
        <v>357</v>
      </c>
      <c r="F56" s="5">
        <v>19548644691</v>
      </c>
      <c r="G56" s="5" t="s">
        <v>655</v>
      </c>
    </row>
    <row r="57" spans="1:7" x14ac:dyDescent="0.25">
      <c r="A57" s="5" t="s">
        <v>676</v>
      </c>
      <c r="B57" s="5" t="s">
        <v>675</v>
      </c>
      <c r="C57" s="6">
        <v>24093</v>
      </c>
      <c r="D57" s="5" t="s">
        <v>674</v>
      </c>
      <c r="E57" s="5" t="s">
        <v>673</v>
      </c>
      <c r="F57" s="5">
        <v>9542448498</v>
      </c>
      <c r="G57" s="5" t="s">
        <v>686</v>
      </c>
    </row>
    <row r="58" spans="1:7" x14ac:dyDescent="0.25">
      <c r="A58" s="5" t="s">
        <v>596</v>
      </c>
      <c r="B58" s="5" t="s">
        <v>597</v>
      </c>
      <c r="C58" s="6">
        <v>32399</v>
      </c>
      <c r="D58" s="5" t="s">
        <v>601</v>
      </c>
      <c r="E58" s="5" t="s">
        <v>600</v>
      </c>
      <c r="F58" s="5">
        <v>19544704914</v>
      </c>
      <c r="G58" s="5" t="s">
        <v>655</v>
      </c>
    </row>
    <row r="59" spans="1:7" x14ac:dyDescent="0.25">
      <c r="A59" s="5" t="s">
        <v>683</v>
      </c>
      <c r="B59" s="5" t="s">
        <v>682</v>
      </c>
      <c r="C59" s="6">
        <v>34900</v>
      </c>
      <c r="D59" s="5" t="s">
        <v>681</v>
      </c>
      <c r="E59" s="5" t="s">
        <v>680</v>
      </c>
      <c r="F59" s="5">
        <v>9544516933</v>
      </c>
      <c r="G59" s="5" t="s">
        <v>686</v>
      </c>
    </row>
    <row r="60" spans="1:7" x14ac:dyDescent="0.25">
      <c r="A60" s="5" t="s">
        <v>660</v>
      </c>
      <c r="B60" s="5" t="s">
        <v>659</v>
      </c>
      <c r="C60" s="6">
        <v>31111</v>
      </c>
      <c r="D60" s="5" t="s">
        <v>658</v>
      </c>
      <c r="E60" s="5" t="s">
        <v>657</v>
      </c>
      <c r="F60" s="5">
        <v>6469959004</v>
      </c>
      <c r="G60" s="5" t="s">
        <v>686</v>
      </c>
    </row>
    <row r="61" spans="1:7" x14ac:dyDescent="0.25">
      <c r="A61" s="5" t="s">
        <v>471</v>
      </c>
      <c r="B61" s="5" t="s">
        <v>472</v>
      </c>
      <c r="C61" s="6">
        <v>26425</v>
      </c>
      <c r="D61" s="5" t="s">
        <v>476</v>
      </c>
      <c r="E61" s="5" t="s">
        <v>475</v>
      </c>
      <c r="F61" s="5">
        <v>1355464764</v>
      </c>
      <c r="G61" s="5" t="s">
        <v>655</v>
      </c>
    </row>
    <row r="62" spans="1:7" x14ac:dyDescent="0.25">
      <c r="A62" s="5" t="s">
        <v>182</v>
      </c>
      <c r="B62" s="5" t="s">
        <v>183</v>
      </c>
      <c r="C62" s="6">
        <v>46048</v>
      </c>
      <c r="D62" s="5" t="s">
        <v>187</v>
      </c>
      <c r="E62" s="5" t="s">
        <v>186</v>
      </c>
      <c r="F62" s="5">
        <v>19548299189</v>
      </c>
      <c r="G62" s="5" t="s">
        <v>655</v>
      </c>
    </row>
    <row r="63" spans="1:7" x14ac:dyDescent="0.25">
      <c r="A63" s="5" t="s">
        <v>87</v>
      </c>
      <c r="B63" s="5" t="s">
        <v>88</v>
      </c>
      <c r="C63" s="6">
        <v>37253</v>
      </c>
      <c r="D63" s="5" t="s">
        <v>662</v>
      </c>
      <c r="E63" s="5" t="s">
        <v>661</v>
      </c>
      <c r="F63" s="5">
        <v>9546432117</v>
      </c>
      <c r="G63" s="5" t="s">
        <v>655</v>
      </c>
    </row>
    <row r="64" spans="1:7" x14ac:dyDescent="0.25">
      <c r="A64" s="5" t="s">
        <v>381</v>
      </c>
      <c r="B64" s="5" t="s">
        <v>382</v>
      </c>
      <c r="C64" s="6">
        <v>45938</v>
      </c>
      <c r="D64" s="5" t="s">
        <v>386</v>
      </c>
      <c r="E64" s="5" t="s">
        <v>385</v>
      </c>
      <c r="F64" s="5">
        <v>19546554375</v>
      </c>
      <c r="G64" s="5" t="s">
        <v>655</v>
      </c>
    </row>
    <row r="65" spans="1:7" x14ac:dyDescent="0.25">
      <c r="A65" s="5" t="s">
        <v>461</v>
      </c>
      <c r="B65" s="5" t="s">
        <v>462</v>
      </c>
      <c r="C65" s="6">
        <v>24270</v>
      </c>
      <c r="D65" s="5" t="s">
        <v>466</v>
      </c>
      <c r="E65" s="5" t="s">
        <v>465</v>
      </c>
      <c r="F65" s="5">
        <v>9548294137</v>
      </c>
      <c r="G65" s="5" t="s">
        <v>655</v>
      </c>
    </row>
    <row r="66" spans="1:7" x14ac:dyDescent="0.25">
      <c r="A66" s="5"/>
      <c r="B66" s="5"/>
      <c r="C66" s="6">
        <v>30659</v>
      </c>
      <c r="D66" s="5" t="s">
        <v>446</v>
      </c>
      <c r="E66" s="5" t="s">
        <v>445</v>
      </c>
      <c r="F66" s="5">
        <v>19547162813</v>
      </c>
      <c r="G66" s="5" t="s">
        <v>655</v>
      </c>
    </row>
  </sheetData>
  <autoFilter ref="A1:G66" xr:uid="{8560C712-7C37-4B01-869B-C2DEF5B736C8}">
    <sortState xmlns:xlrd2="http://schemas.microsoft.com/office/spreadsheetml/2017/richdata2" ref="A2:G66">
      <sortCondition ref="A1:A66"/>
    </sortState>
  </autoFilter>
  <mergeCells count="1">
    <mergeCell ref="K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Werner</dc:creator>
  <cp:lastModifiedBy>Lucila Werner</cp:lastModifiedBy>
  <dcterms:created xsi:type="dcterms:W3CDTF">2026-01-21T14:02:06Z</dcterms:created>
  <dcterms:modified xsi:type="dcterms:W3CDTF">2026-01-21T14:06:24Z</dcterms:modified>
</cp:coreProperties>
</file>